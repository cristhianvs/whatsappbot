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adalupeCarbajalRod\Downloads\"/>
    </mc:Choice>
  </mc:AlternateContent>
  <xr:revisionPtr revIDLastSave="0" documentId="8_{F7D3233A-8BED-433B-8F68-FA04A8C5E4C5}" xr6:coauthVersionLast="47" xr6:coauthVersionMax="47" xr10:uidLastSave="{00000000-0000-0000-0000-000000000000}"/>
  <bookViews>
    <workbookView xWindow="-110" yWindow="-110" windowWidth="19420" windowHeight="10300" xr2:uid="{320FBF6B-6E6F-47A4-B3EA-35E10B65E13F}"/>
  </bookViews>
  <sheets>
    <sheet name="PRODUCTOS SIN PRECIO" sheetId="1" r:id="rId1"/>
  </sheets>
  <definedNames>
    <definedName name="_xlnm._FilterDatabase" localSheetId="0" hidden="1">'PRODUCTOS SIN PRECIO'!$A$1:$Y$620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0" i="1" l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J555" i="1" s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J536" i="1" s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2" i="1"/>
  <c r="H3" i="1"/>
</calcChain>
</file>

<file path=xl/sharedStrings.xml><?xml version="1.0" encoding="utf-8"?>
<sst xmlns="http://schemas.openxmlformats.org/spreadsheetml/2006/main" count="8691" uniqueCount="2494">
  <si>
    <t>SKUID</t>
  </si>
  <si>
    <t>SkuIDHana</t>
  </si>
  <si>
    <t>Idtienda</t>
  </si>
  <si>
    <t>IdTiendaHana</t>
  </si>
  <si>
    <t>F5</t>
  </si>
  <si>
    <t>Inventario Check</t>
  </si>
  <si>
    <t>Costo Check</t>
  </si>
  <si>
    <t>Costo Supermercado</t>
  </si>
  <si>
    <t>Costo MexicoLindo</t>
  </si>
  <si>
    <t>ValorInventarioSAP</t>
  </si>
  <si>
    <t>InventarioAll</t>
  </si>
  <si>
    <t>Valor Inventario</t>
  </si>
  <si>
    <t>CostoPromAll</t>
  </si>
  <si>
    <t>TipoCosto0MEX</t>
  </si>
  <si>
    <t>CHECK=SUPER=MEXICO</t>
  </si>
  <si>
    <t>Extencion</t>
  </si>
  <si>
    <t>Extencion1</t>
  </si>
  <si>
    <t>precios</t>
  </si>
  <si>
    <t>preciosiniva</t>
  </si>
  <si>
    <t>ZUAR0503085</t>
  </si>
  <si>
    <t>10002575</t>
  </si>
  <si>
    <t>940</t>
  </si>
  <si>
    <t>0940</t>
  </si>
  <si>
    <t>CM0940-10002575</t>
  </si>
  <si>
    <t>NULL</t>
  </si>
  <si>
    <t>Extendido</t>
  </si>
  <si>
    <t>#N/A</t>
  </si>
  <si>
    <t>14688C694407</t>
  </si>
  <si>
    <t>10006700</t>
  </si>
  <si>
    <t>958</t>
  </si>
  <si>
    <t>0958</t>
  </si>
  <si>
    <t>CM0958-10006700</t>
  </si>
  <si>
    <t>14688C694408</t>
  </si>
  <si>
    <t>10006701</t>
  </si>
  <si>
    <t>969</t>
  </si>
  <si>
    <t>0969</t>
  </si>
  <si>
    <t>CM0969-10006701</t>
  </si>
  <si>
    <t>14688C700407</t>
  </si>
  <si>
    <t>10006711</t>
  </si>
  <si>
    <t>CM0969-10006711</t>
  </si>
  <si>
    <t>14688C700408</t>
  </si>
  <si>
    <t>10006713</t>
  </si>
  <si>
    <t>CM0969-10006713</t>
  </si>
  <si>
    <t>14688C690406</t>
  </si>
  <si>
    <t>10006869</t>
  </si>
  <si>
    <t>CM0958-10006869</t>
  </si>
  <si>
    <t>14688C690409</t>
  </si>
  <si>
    <t>10006872</t>
  </si>
  <si>
    <t>CM0958-10006872</t>
  </si>
  <si>
    <t>14688C690509</t>
  </si>
  <si>
    <t>10006880</t>
  </si>
  <si>
    <t>CM0958-10006880</t>
  </si>
  <si>
    <t>14688C120906</t>
  </si>
  <si>
    <t>10007988</t>
  </si>
  <si>
    <t>CM0958-10007988</t>
  </si>
  <si>
    <t>14688C120907</t>
  </si>
  <si>
    <t>10007989</t>
  </si>
  <si>
    <t>CM0958-10007989</t>
  </si>
  <si>
    <t>AK24STP002</t>
  </si>
  <si>
    <t>10022613</t>
  </si>
  <si>
    <t>911</t>
  </si>
  <si>
    <t>0911</t>
  </si>
  <si>
    <t>CM0911-10022613</t>
  </si>
  <si>
    <t>AK24STP021</t>
  </si>
  <si>
    <t>10022625</t>
  </si>
  <si>
    <t>CM0911-10022625</t>
  </si>
  <si>
    <t>AK24STP026</t>
  </si>
  <si>
    <t>10022629</t>
  </si>
  <si>
    <t>CM0911-10022629</t>
  </si>
  <si>
    <t>AK24STP030</t>
  </si>
  <si>
    <t>10022632</t>
  </si>
  <si>
    <t>CM0911-10022632</t>
  </si>
  <si>
    <t>AK24STD0076</t>
  </si>
  <si>
    <t>10023887</t>
  </si>
  <si>
    <t>CM0911-10023887</t>
  </si>
  <si>
    <t>VGME12C-AU</t>
  </si>
  <si>
    <t>10026497</t>
  </si>
  <si>
    <t>970</t>
  </si>
  <si>
    <t>0970</t>
  </si>
  <si>
    <t>CM0970-10026497</t>
  </si>
  <si>
    <t>VGME12CN-AU</t>
  </si>
  <si>
    <t>10026499</t>
  </si>
  <si>
    <t>CM0970-10026499</t>
  </si>
  <si>
    <t>VGME25C-AG</t>
  </si>
  <si>
    <t>10026500</t>
  </si>
  <si>
    <t>CM0970-10026500</t>
  </si>
  <si>
    <t>14688C694405</t>
  </si>
  <si>
    <t>10006698</t>
  </si>
  <si>
    <t>CM0958-10006698</t>
  </si>
  <si>
    <t>CM0958-10006701</t>
  </si>
  <si>
    <t>14688C694409</t>
  </si>
  <si>
    <t>10006702</t>
  </si>
  <si>
    <t>CM0969-10006702</t>
  </si>
  <si>
    <t>14688C700405</t>
  </si>
  <si>
    <t>10006703</t>
  </si>
  <si>
    <t>CM0969-10006703</t>
  </si>
  <si>
    <t>14688C690506</t>
  </si>
  <si>
    <t>10006874</t>
  </si>
  <si>
    <t>CM0958-10006874</t>
  </si>
  <si>
    <t>14688C690405</t>
  </si>
  <si>
    <t>10007118</t>
  </si>
  <si>
    <t>CM0958-10007118</t>
  </si>
  <si>
    <t>14688C120905</t>
  </si>
  <si>
    <t>10007987</t>
  </si>
  <si>
    <t>CM0958-10007987</t>
  </si>
  <si>
    <t>VGME12C-AG</t>
  </si>
  <si>
    <t>10026496</t>
  </si>
  <si>
    <t>CM0970-10026496</t>
  </si>
  <si>
    <t>VGME25CN-AG</t>
  </si>
  <si>
    <t>10026502</t>
  </si>
  <si>
    <t>CM0970-10026502</t>
  </si>
  <si>
    <t>14688C700409</t>
  </si>
  <si>
    <t>10006407</t>
  </si>
  <si>
    <t>CM0969-10006407</t>
  </si>
  <si>
    <t>14688C700406</t>
  </si>
  <si>
    <t>10006709</t>
  </si>
  <si>
    <t>CM0969-10006709</t>
  </si>
  <si>
    <t>14688C690407</t>
  </si>
  <si>
    <t>10006870</t>
  </si>
  <si>
    <t>CM0958-10006870</t>
  </si>
  <si>
    <t>14688C690505</t>
  </si>
  <si>
    <t>10006873</t>
  </si>
  <si>
    <t>CM0958-10006873</t>
  </si>
  <si>
    <t>14000D702805</t>
  </si>
  <si>
    <t>10013963</t>
  </si>
  <si>
    <t>CM0958-10013963</t>
  </si>
  <si>
    <t>AK24STP001</t>
  </si>
  <si>
    <t>10022612</t>
  </si>
  <si>
    <t>CM0911-10022612</t>
  </si>
  <si>
    <t>AK24STP005</t>
  </si>
  <si>
    <t>10022615</t>
  </si>
  <si>
    <t>CM0911-10022615</t>
  </si>
  <si>
    <t>AK24STP008</t>
  </si>
  <si>
    <t>10022618</t>
  </si>
  <si>
    <t>CM0911-10022618</t>
  </si>
  <si>
    <t>AK24STP016</t>
  </si>
  <si>
    <t>10022622</t>
  </si>
  <si>
    <t>CM0911-10022622</t>
  </si>
  <si>
    <t>VGME25CN-AU</t>
  </si>
  <si>
    <t>10026503</t>
  </si>
  <si>
    <t>CM0970-10026503</t>
  </si>
  <si>
    <t>MAYANT-AG</t>
  </si>
  <si>
    <t>10027280</t>
  </si>
  <si>
    <t>CM0970-10027280</t>
  </si>
  <si>
    <t>MAYDJC-AG</t>
  </si>
  <si>
    <t>10027283</t>
  </si>
  <si>
    <t>CM0970-10027283</t>
  </si>
  <si>
    <t>CUPAN-AU</t>
  </si>
  <si>
    <t>10027561</t>
  </si>
  <si>
    <t>CM0970-10027561</t>
  </si>
  <si>
    <t>CUPAR-AU</t>
  </si>
  <si>
    <t>10027562</t>
  </si>
  <si>
    <t>CM0970-10027562</t>
  </si>
  <si>
    <t>DALAR-CN6AG</t>
  </si>
  <si>
    <t>10027583</t>
  </si>
  <si>
    <t>CM0970-10027583</t>
  </si>
  <si>
    <t>DALDG-CNAG</t>
  </si>
  <si>
    <t>10027587</t>
  </si>
  <si>
    <t>CM0970-10027587</t>
  </si>
  <si>
    <t>DALDJM-CNAU</t>
  </si>
  <si>
    <t>10027594</t>
  </si>
  <si>
    <t>CM0970-10027594</t>
  </si>
  <si>
    <t>190703004202</t>
  </si>
  <si>
    <t>10032163</t>
  </si>
  <si>
    <t>CM0969-10032163</t>
  </si>
  <si>
    <t>190111001302</t>
  </si>
  <si>
    <t>10026351</t>
  </si>
  <si>
    <t>CM0940-10026351</t>
  </si>
  <si>
    <t>VGME12CN-AG</t>
  </si>
  <si>
    <t>10026498</t>
  </si>
  <si>
    <t>CM0970-10026498</t>
  </si>
  <si>
    <t>VGME25C-AU</t>
  </si>
  <si>
    <t>10026501</t>
  </si>
  <si>
    <t>CM0970-10026501</t>
  </si>
  <si>
    <t>MAYANR-AG</t>
  </si>
  <si>
    <t>10027279</t>
  </si>
  <si>
    <t>CM0970-10027279</t>
  </si>
  <si>
    <t>MAYARRC-AG</t>
  </si>
  <si>
    <t>10027281</t>
  </si>
  <si>
    <t>CM0970-10027281</t>
  </si>
  <si>
    <t>MAYPU-AG</t>
  </si>
  <si>
    <t>10027285</t>
  </si>
  <si>
    <t>CM0970-10027285</t>
  </si>
  <si>
    <t>CUPAN-AG1</t>
  </si>
  <si>
    <t>10027560</t>
  </si>
  <si>
    <t>CM0970-10027560</t>
  </si>
  <si>
    <t>CUPDJ-AG</t>
  </si>
  <si>
    <t>10027565</t>
  </si>
  <si>
    <t>CM0970-10027565</t>
  </si>
  <si>
    <t>DAL-AN5-M</t>
  </si>
  <si>
    <t>10027569</t>
  </si>
  <si>
    <t>CM0970-10027569</t>
  </si>
  <si>
    <t>DAL-DJ3C-M</t>
  </si>
  <si>
    <t>10027577</t>
  </si>
  <si>
    <t>CM0970-10027577</t>
  </si>
  <si>
    <t>DALAR-AG</t>
  </si>
  <si>
    <t>10027581</t>
  </si>
  <si>
    <t>CM0970-10027581</t>
  </si>
  <si>
    <t>BOH-ARGOT-N</t>
  </si>
  <si>
    <t>10027857</t>
  </si>
  <si>
    <t>CM0970-10027857</t>
  </si>
  <si>
    <t>190403008102</t>
  </si>
  <si>
    <t>10032471</t>
  </si>
  <si>
    <t>CM0969-10032471</t>
  </si>
  <si>
    <t>190403008302</t>
  </si>
  <si>
    <t>10032472</t>
  </si>
  <si>
    <t>CM0969-10032472</t>
  </si>
  <si>
    <t>190403008402</t>
  </si>
  <si>
    <t>10032473</t>
  </si>
  <si>
    <t>CM0969-10032473</t>
  </si>
  <si>
    <t>190403008602</t>
  </si>
  <si>
    <t>10032474</t>
  </si>
  <si>
    <t>CM0969-10032474</t>
  </si>
  <si>
    <t>190411001102</t>
  </si>
  <si>
    <t>10032494</t>
  </si>
  <si>
    <t>CM0940-10032494</t>
  </si>
  <si>
    <t>190511001202</t>
  </si>
  <si>
    <t>10032663</t>
  </si>
  <si>
    <t>CM0940-10032663</t>
  </si>
  <si>
    <t>MAYARRG-AG</t>
  </si>
  <si>
    <t>10027282</t>
  </si>
  <si>
    <t>CM0970-10027282</t>
  </si>
  <si>
    <t>DAL-AN3-M</t>
  </si>
  <si>
    <t>10027567</t>
  </si>
  <si>
    <t>CM0970-10027567</t>
  </si>
  <si>
    <t>DAL-ARDC-M</t>
  </si>
  <si>
    <t>10027574</t>
  </si>
  <si>
    <t>CM0970-10027574</t>
  </si>
  <si>
    <t>BOH-ARAB3-M</t>
  </si>
  <si>
    <t>10027854</t>
  </si>
  <si>
    <t>CM0970-10027854</t>
  </si>
  <si>
    <t>AKSAP08260</t>
  </si>
  <si>
    <t>10029081</t>
  </si>
  <si>
    <t>CM0940-10029081</t>
  </si>
  <si>
    <t>190403008002</t>
  </si>
  <si>
    <t>10032470</t>
  </si>
  <si>
    <t>CM0969-10032470</t>
  </si>
  <si>
    <t>14047D846001</t>
  </si>
  <si>
    <t>10035036</t>
  </si>
  <si>
    <t>224</t>
  </si>
  <si>
    <t>0224</t>
  </si>
  <si>
    <t>CM0224-10035036</t>
  </si>
  <si>
    <t>160620082410</t>
  </si>
  <si>
    <t>10040171</t>
  </si>
  <si>
    <t>216</t>
  </si>
  <si>
    <t>0216</t>
  </si>
  <si>
    <t>CM0216-10040171</t>
  </si>
  <si>
    <t>160090090100</t>
  </si>
  <si>
    <t>10041008</t>
  </si>
  <si>
    <t>971</t>
  </si>
  <si>
    <t>0971</t>
  </si>
  <si>
    <t>CM0971-10041008</t>
  </si>
  <si>
    <t>160298191005</t>
  </si>
  <si>
    <t>10039908</t>
  </si>
  <si>
    <t>623</t>
  </si>
  <si>
    <t>0623</t>
  </si>
  <si>
    <t>CM0623-10039908</t>
  </si>
  <si>
    <t>160298191405</t>
  </si>
  <si>
    <t>10039912</t>
  </si>
  <si>
    <t>CM0623-10039912</t>
  </si>
  <si>
    <t>160620072410</t>
  </si>
  <si>
    <t>10040170</t>
  </si>
  <si>
    <t>CM0971-10040170</t>
  </si>
  <si>
    <t>Z24450055928005</t>
  </si>
  <si>
    <t>10042152</t>
  </si>
  <si>
    <t>518</t>
  </si>
  <si>
    <t>0518</t>
  </si>
  <si>
    <t>CM0518-10042152</t>
  </si>
  <si>
    <t>Z24450055901003</t>
  </si>
  <si>
    <t>10042163</t>
  </si>
  <si>
    <t>CM0518-10042163</t>
  </si>
  <si>
    <t>Z24450055901004</t>
  </si>
  <si>
    <t>10042164</t>
  </si>
  <si>
    <t>CM0518-10042164</t>
  </si>
  <si>
    <t>Z24450055915004</t>
  </si>
  <si>
    <t>10042169</t>
  </si>
  <si>
    <t>CM0518-10042169</t>
  </si>
  <si>
    <t>Z24450055889002</t>
  </si>
  <si>
    <t>10042205</t>
  </si>
  <si>
    <t>CM0518-10042205</t>
  </si>
  <si>
    <t>Z24210048275005</t>
  </si>
  <si>
    <t>10044483</t>
  </si>
  <si>
    <t>916</t>
  </si>
  <si>
    <t>0916</t>
  </si>
  <si>
    <t>CM0916-10044483</t>
  </si>
  <si>
    <t>75066372000057</t>
  </si>
  <si>
    <t>10037259</t>
  </si>
  <si>
    <t>903</t>
  </si>
  <si>
    <t>0903</t>
  </si>
  <si>
    <t>CM0903-10037259</t>
  </si>
  <si>
    <t>160300152410</t>
  </si>
  <si>
    <t>10039733</t>
  </si>
  <si>
    <t>956</t>
  </si>
  <si>
    <t>0956</t>
  </si>
  <si>
    <t>CM0956-10039733</t>
  </si>
  <si>
    <t>965</t>
  </si>
  <si>
    <t>0965</t>
  </si>
  <si>
    <t>CM0965-10039733</t>
  </si>
  <si>
    <t>160298191004</t>
  </si>
  <si>
    <t>10039907</t>
  </si>
  <si>
    <t>CM0623-10039907</t>
  </si>
  <si>
    <t>160298191403</t>
  </si>
  <si>
    <t>10039910</t>
  </si>
  <si>
    <t>CM0623-10039910</t>
  </si>
  <si>
    <t>160567955210</t>
  </si>
  <si>
    <t>10040439</t>
  </si>
  <si>
    <t>CM0971-10040439</t>
  </si>
  <si>
    <t>Z24450055928002</t>
  </si>
  <si>
    <t>10042149</t>
  </si>
  <si>
    <t>CM0623-10042149</t>
  </si>
  <si>
    <t>Z24450055926005</t>
  </si>
  <si>
    <t>10042162</t>
  </si>
  <si>
    <t>CM0518-10042162</t>
  </si>
  <si>
    <t>7506180200429</t>
  </si>
  <si>
    <t>10045327</t>
  </si>
  <si>
    <t>917</t>
  </si>
  <si>
    <t>0917</t>
  </si>
  <si>
    <t>CM0917-10045327</t>
  </si>
  <si>
    <t>Z24450055928003</t>
  </si>
  <si>
    <t>10042150</t>
  </si>
  <si>
    <t>CM0518-10042150</t>
  </si>
  <si>
    <t>Z24450055901005</t>
  </si>
  <si>
    <t>10042165</t>
  </si>
  <si>
    <t>CM0518-10042165</t>
  </si>
  <si>
    <t>7508006051093</t>
  </si>
  <si>
    <t>10045105</t>
  </si>
  <si>
    <t>CM0916-10045105</t>
  </si>
  <si>
    <t>CM0916-10045327</t>
  </si>
  <si>
    <t>04694711</t>
  </si>
  <si>
    <t>10047484</t>
  </si>
  <si>
    <t>CM0969-10047484</t>
  </si>
  <si>
    <t>04694713</t>
  </si>
  <si>
    <t>10047486</t>
  </si>
  <si>
    <t>CM0969-10047486</t>
  </si>
  <si>
    <t>160020330151</t>
  </si>
  <si>
    <t>10048274</t>
  </si>
  <si>
    <t>CM0969-10048274</t>
  </si>
  <si>
    <t>160020330153</t>
  </si>
  <si>
    <t>10048276</t>
  </si>
  <si>
    <t>CM0969-10048276</t>
  </si>
  <si>
    <t>160380082404</t>
  </si>
  <si>
    <t>10049084</t>
  </si>
  <si>
    <t>CM0958-10049084</t>
  </si>
  <si>
    <t>7502281465125</t>
  </si>
  <si>
    <t>10045964</t>
  </si>
  <si>
    <t>CM0969-10045964</t>
  </si>
  <si>
    <t>04694714</t>
  </si>
  <si>
    <t>10047487</t>
  </si>
  <si>
    <t>CM0969-10047487</t>
  </si>
  <si>
    <t>04694715</t>
  </si>
  <si>
    <t>10047488</t>
  </si>
  <si>
    <t>CM0969-10047488</t>
  </si>
  <si>
    <t>160020360151</t>
  </si>
  <si>
    <t>10048286</t>
  </si>
  <si>
    <t>CM0969-10048286</t>
  </si>
  <si>
    <t>160020360154</t>
  </si>
  <si>
    <t>10048288</t>
  </si>
  <si>
    <t>CM0969-10048288</t>
  </si>
  <si>
    <t>160020060154</t>
  </si>
  <si>
    <t>10048399</t>
  </si>
  <si>
    <t>CM0969-10048399</t>
  </si>
  <si>
    <t>04552169</t>
  </si>
  <si>
    <t>10049046</t>
  </si>
  <si>
    <t>CM0623-10049046</t>
  </si>
  <si>
    <t>160380082405</t>
  </si>
  <si>
    <t>10049085</t>
  </si>
  <si>
    <t>CM0958-10049085</t>
  </si>
  <si>
    <t>04552165</t>
  </si>
  <si>
    <t>10049119</t>
  </si>
  <si>
    <t>CM0623-10049119</t>
  </si>
  <si>
    <t>04694712</t>
  </si>
  <si>
    <t>10047485</t>
  </si>
  <si>
    <t>CM0969-10047485</t>
  </si>
  <si>
    <t>04694205</t>
  </si>
  <si>
    <t>10048018</t>
  </si>
  <si>
    <t>CM0917-10048018</t>
  </si>
  <si>
    <t>160020330154</t>
  </si>
  <si>
    <t>10048277</t>
  </si>
  <si>
    <t>CM0969-10048277</t>
  </si>
  <si>
    <t>160020060152</t>
  </si>
  <si>
    <t>10048397</t>
  </si>
  <si>
    <t>CM0969-10048397</t>
  </si>
  <si>
    <t>160020060153</t>
  </si>
  <si>
    <t>10048398</t>
  </si>
  <si>
    <t>CM0969-10048398</t>
  </si>
  <si>
    <t>04692292</t>
  </si>
  <si>
    <t>10048601</t>
  </si>
  <si>
    <t>927</t>
  </si>
  <si>
    <t>0927</t>
  </si>
  <si>
    <t>CM0927-10048601</t>
  </si>
  <si>
    <t>160220392305</t>
  </si>
  <si>
    <t>10049393</t>
  </si>
  <si>
    <t>953</t>
  </si>
  <si>
    <t>0953</t>
  </si>
  <si>
    <t>CM0953-10049393</t>
  </si>
  <si>
    <t>160220390104</t>
  </si>
  <si>
    <t>10049438</t>
  </si>
  <si>
    <t>CM0953-10049438</t>
  </si>
  <si>
    <t>04223540</t>
  </si>
  <si>
    <t>10052449</t>
  </si>
  <si>
    <t>CM0927-10052449</t>
  </si>
  <si>
    <t>04549063</t>
  </si>
  <si>
    <t>10049387</t>
  </si>
  <si>
    <t>951</t>
  </si>
  <si>
    <t>0951</t>
  </si>
  <si>
    <t>CM0951-10049387</t>
  </si>
  <si>
    <t>160220390103</t>
  </si>
  <si>
    <t>10049433</t>
  </si>
  <si>
    <t>CM0953-10049433</t>
  </si>
  <si>
    <t>04549103</t>
  </si>
  <si>
    <t>10051623</t>
  </si>
  <si>
    <t>606</t>
  </si>
  <si>
    <t>0606</t>
  </si>
  <si>
    <t>CM0606-10051623</t>
  </si>
  <si>
    <t>04433046</t>
  </si>
  <si>
    <t>10051866</t>
  </si>
  <si>
    <t>CM0518-10051866</t>
  </si>
  <si>
    <t>04429002</t>
  </si>
  <si>
    <t>10052098</t>
  </si>
  <si>
    <t>CM0971-10052098</t>
  </si>
  <si>
    <t>04345001</t>
  </si>
  <si>
    <t>10052358</t>
  </si>
  <si>
    <t>CM0969-10052358</t>
  </si>
  <si>
    <t>04223457</t>
  </si>
  <si>
    <t>10052458</t>
  </si>
  <si>
    <t>CM0969-10052458</t>
  </si>
  <si>
    <t>04694672</t>
  </si>
  <si>
    <t>10053015</t>
  </si>
  <si>
    <t>CM0927-10053015</t>
  </si>
  <si>
    <t>04223133</t>
  </si>
  <si>
    <t>10053177</t>
  </si>
  <si>
    <t>914</t>
  </si>
  <si>
    <t>0914</t>
  </si>
  <si>
    <t>CM0914-10053177</t>
  </si>
  <si>
    <t>160220390102</t>
  </si>
  <si>
    <t>10049429</t>
  </si>
  <si>
    <t>CM0953-10049429</t>
  </si>
  <si>
    <t>160220392303</t>
  </si>
  <si>
    <t>10049441</t>
  </si>
  <si>
    <t>CM0953-10049441</t>
  </si>
  <si>
    <t>04428563</t>
  </si>
  <si>
    <t>10049899</t>
  </si>
  <si>
    <t>CM0927-10049899</t>
  </si>
  <si>
    <t>04428536</t>
  </si>
  <si>
    <t>10050022</t>
  </si>
  <si>
    <t>968</t>
  </si>
  <si>
    <t>0968</t>
  </si>
  <si>
    <t>CM0968-10050022</t>
  </si>
  <si>
    <t>04428359</t>
  </si>
  <si>
    <t>10050299</t>
  </si>
  <si>
    <t>CM0956-10050299</t>
  </si>
  <si>
    <t>044282102102</t>
  </si>
  <si>
    <t>10050356</t>
  </si>
  <si>
    <t>910</t>
  </si>
  <si>
    <t>0910</t>
  </si>
  <si>
    <t>CM0910-10050356</t>
  </si>
  <si>
    <t>04543010</t>
  </si>
  <si>
    <t>10051658</t>
  </si>
  <si>
    <t>CM0623-10051658</t>
  </si>
  <si>
    <t>04433181</t>
  </si>
  <si>
    <t>10051855</t>
  </si>
  <si>
    <t>CM0971-10051855</t>
  </si>
  <si>
    <t>058420901010</t>
  </si>
  <si>
    <t>10052523</t>
  </si>
  <si>
    <t>CM0910-10052523</t>
  </si>
  <si>
    <t>04223134</t>
  </si>
  <si>
    <t>10053178</t>
  </si>
  <si>
    <t>939</t>
  </si>
  <si>
    <t>0939</t>
  </si>
  <si>
    <t>CM0939-10053178</t>
  </si>
  <si>
    <t>04694671</t>
  </si>
  <si>
    <t>10053200</t>
  </si>
  <si>
    <t>CM0916-10053200</t>
  </si>
  <si>
    <t>04221008</t>
  </si>
  <si>
    <t>10053233</t>
  </si>
  <si>
    <t>616</t>
  </si>
  <si>
    <t>0616</t>
  </si>
  <si>
    <t>CM0616-10053233</t>
  </si>
  <si>
    <t>04219362</t>
  </si>
  <si>
    <t>10053557</t>
  </si>
  <si>
    <t>CM0518-10053557</t>
  </si>
  <si>
    <t>04551103</t>
  </si>
  <si>
    <t>10054053</t>
  </si>
  <si>
    <t>CM0606-10054053</t>
  </si>
  <si>
    <t>04101053</t>
  </si>
  <si>
    <t>10054314</t>
  </si>
  <si>
    <t>CM0927-10054314</t>
  </si>
  <si>
    <t>04095252</t>
  </si>
  <si>
    <t>10054834</t>
  </si>
  <si>
    <t>CM0927-10054834</t>
  </si>
  <si>
    <t>04181123</t>
  </si>
  <si>
    <t>10054901</t>
  </si>
  <si>
    <t>850</t>
  </si>
  <si>
    <t>0850</t>
  </si>
  <si>
    <t>CM0850-10054901</t>
  </si>
  <si>
    <t>04047048</t>
  </si>
  <si>
    <t>10055198</t>
  </si>
  <si>
    <t>CM0518-10055198</t>
  </si>
  <si>
    <t>04220004</t>
  </si>
  <si>
    <t>10053386</t>
  </si>
  <si>
    <t>CM0971-10053386</t>
  </si>
  <si>
    <t>04692437</t>
  </si>
  <si>
    <t>10053455</t>
  </si>
  <si>
    <t>CM0916-10053455</t>
  </si>
  <si>
    <t>04692386</t>
  </si>
  <si>
    <t>10053547</t>
  </si>
  <si>
    <t>CM0927-10053547</t>
  </si>
  <si>
    <t>04219008</t>
  </si>
  <si>
    <t>10053858</t>
  </si>
  <si>
    <t>CM0518-10053858</t>
  </si>
  <si>
    <t>04181026</t>
  </si>
  <si>
    <t>10053927</t>
  </si>
  <si>
    <t>CM0850-10053927</t>
  </si>
  <si>
    <t>04095240</t>
  </si>
  <si>
    <t>10054830</t>
  </si>
  <si>
    <t>CM0623-10054830</t>
  </si>
  <si>
    <t>04095251</t>
  </si>
  <si>
    <t>10054833</t>
  </si>
  <si>
    <t>CM0916-10054833</t>
  </si>
  <si>
    <t>04007397</t>
  </si>
  <si>
    <t>10055217</t>
  </si>
  <si>
    <t>CM0916-10055217</t>
  </si>
  <si>
    <t>04007392</t>
  </si>
  <si>
    <t>10055302</t>
  </si>
  <si>
    <t>CM0916-10055302</t>
  </si>
  <si>
    <t>04047090</t>
  </si>
  <si>
    <t>10055211</t>
  </si>
  <si>
    <t>CM0965-10055211</t>
  </si>
  <si>
    <t>CM0968-10055217</t>
  </si>
  <si>
    <t>04006098</t>
  </si>
  <si>
    <t>10055340</t>
  </si>
  <si>
    <t>CM0910-10055340</t>
  </si>
  <si>
    <t>04006082</t>
  </si>
  <si>
    <t>10055401</t>
  </si>
  <si>
    <t>CM0927-10055401</t>
  </si>
  <si>
    <t>78924345</t>
  </si>
  <si>
    <t>10055510</t>
  </si>
  <si>
    <t>504</t>
  </si>
  <si>
    <t>0504</t>
  </si>
  <si>
    <t>CM0504-10055510</t>
  </si>
  <si>
    <t>7502214985348</t>
  </si>
  <si>
    <t>10056185</t>
  </si>
  <si>
    <t>945</t>
  </si>
  <si>
    <t>0945</t>
  </si>
  <si>
    <t>CM0945-10056185</t>
  </si>
  <si>
    <t>7501943446052</t>
  </si>
  <si>
    <t>10056292</t>
  </si>
  <si>
    <t>CM0504-10056292</t>
  </si>
  <si>
    <t>7501019036545</t>
  </si>
  <si>
    <t>10056714</t>
  </si>
  <si>
    <t>CM0504-10056714</t>
  </si>
  <si>
    <t>7500435019521</t>
  </si>
  <si>
    <t>10056923</t>
  </si>
  <si>
    <t>501</t>
  </si>
  <si>
    <t>0501</t>
  </si>
  <si>
    <t>CM0501-10056923</t>
  </si>
  <si>
    <t>7509546064703</t>
  </si>
  <si>
    <t>10055699</t>
  </si>
  <si>
    <t>CM0501-10055699</t>
  </si>
  <si>
    <t>7509546067926</t>
  </si>
  <si>
    <t>10055704</t>
  </si>
  <si>
    <t>CM0501-10055704</t>
  </si>
  <si>
    <t>7502282730772</t>
  </si>
  <si>
    <t>10056034</t>
  </si>
  <si>
    <t>CM0945-10056034</t>
  </si>
  <si>
    <t>7502254360181</t>
  </si>
  <si>
    <t>10056172</t>
  </si>
  <si>
    <t>CM0504-10056172</t>
  </si>
  <si>
    <t>7501943498907</t>
  </si>
  <si>
    <t>10056318</t>
  </si>
  <si>
    <t>CM0504-10056318</t>
  </si>
  <si>
    <t>7500435019811</t>
  </si>
  <si>
    <t>10056926</t>
  </si>
  <si>
    <t>CM0501-10056926</t>
  </si>
  <si>
    <t>4005900686534</t>
  </si>
  <si>
    <t>10057039</t>
  </si>
  <si>
    <t>CM0945-10057039</t>
  </si>
  <si>
    <t>4005900036742</t>
  </si>
  <si>
    <t>10057099</t>
  </si>
  <si>
    <t>CM0504-10057099</t>
  </si>
  <si>
    <t>036000183399</t>
  </si>
  <si>
    <t>10057496</t>
  </si>
  <si>
    <t>CM0224-10057496</t>
  </si>
  <si>
    <t>CM0927-10053200</t>
  </si>
  <si>
    <t>04650040</t>
  </si>
  <si>
    <t>10053787</t>
  </si>
  <si>
    <t>952</t>
  </si>
  <si>
    <t>0952</t>
  </si>
  <si>
    <t>CM0952-10053787</t>
  </si>
  <si>
    <t>04096049</t>
  </si>
  <si>
    <t>10054730</t>
  </si>
  <si>
    <t>CM0971-10054730</t>
  </si>
  <si>
    <t>CM0927-10054833</t>
  </si>
  <si>
    <t>CM0916-10054834</t>
  </si>
  <si>
    <t>04093018</t>
  </si>
  <si>
    <t>10054924</t>
  </si>
  <si>
    <t>509</t>
  </si>
  <si>
    <t>0509</t>
  </si>
  <si>
    <t>CM0509-10054924</t>
  </si>
  <si>
    <t>7506306241190</t>
  </si>
  <si>
    <t>10055835</t>
  </si>
  <si>
    <t>CM0504-10055835</t>
  </si>
  <si>
    <t>7506195178133</t>
  </si>
  <si>
    <t>10055913</t>
  </si>
  <si>
    <t>CM0504-10055913</t>
  </si>
  <si>
    <t>7501019031144</t>
  </si>
  <si>
    <t>10056705</t>
  </si>
  <si>
    <t>CM0504-10056705</t>
  </si>
  <si>
    <t>7503023533713</t>
  </si>
  <si>
    <t>10058104</t>
  </si>
  <si>
    <t>932</t>
  </si>
  <si>
    <t>0932</t>
  </si>
  <si>
    <t>CM0932-10058104</t>
  </si>
  <si>
    <t>051801107</t>
  </si>
  <si>
    <t>10059066</t>
  </si>
  <si>
    <t>CM0501-10059066</t>
  </si>
  <si>
    <t>7502226819938</t>
  </si>
  <si>
    <t>10060237</t>
  </si>
  <si>
    <t>CM0968-10060237</t>
  </si>
  <si>
    <t>7502240644301</t>
  </si>
  <si>
    <t>10060243</t>
  </si>
  <si>
    <t>CM0951-10060243</t>
  </si>
  <si>
    <t>7502240644424</t>
  </si>
  <si>
    <t>10060248</t>
  </si>
  <si>
    <t>CM0623-10060248</t>
  </si>
  <si>
    <t>7502226811451</t>
  </si>
  <si>
    <t>10060306</t>
  </si>
  <si>
    <t>CM0956-10060306</t>
  </si>
  <si>
    <t>7501011131392</t>
  </si>
  <si>
    <t>10060558</t>
  </si>
  <si>
    <t>CM0850-10060558</t>
  </si>
  <si>
    <t>7500478037421</t>
  </si>
  <si>
    <t>10060739</t>
  </si>
  <si>
    <t>964</t>
  </si>
  <si>
    <t>0964</t>
  </si>
  <si>
    <t>CM0964-10060739</t>
  </si>
  <si>
    <t>7500478013647</t>
  </si>
  <si>
    <t>10060795</t>
  </si>
  <si>
    <t>CM0850-10060795</t>
  </si>
  <si>
    <t>7501001169091</t>
  </si>
  <si>
    <t>10056832</t>
  </si>
  <si>
    <t>902</t>
  </si>
  <si>
    <t>0902</t>
  </si>
  <si>
    <t>CM0902-10056832</t>
  </si>
  <si>
    <t>4005900489746</t>
  </si>
  <si>
    <t>10057017</t>
  </si>
  <si>
    <t>CM0504-10057017</t>
  </si>
  <si>
    <t>3014260019723</t>
  </si>
  <si>
    <t>10057160</t>
  </si>
  <si>
    <t>CM0504-10057160</t>
  </si>
  <si>
    <t>071603001237</t>
  </si>
  <si>
    <t>10057365</t>
  </si>
  <si>
    <t>CM0504-10057365</t>
  </si>
  <si>
    <t>7502240644417</t>
  </si>
  <si>
    <t>10060247</t>
  </si>
  <si>
    <t>CM0623-10060247</t>
  </si>
  <si>
    <t>7501056900168</t>
  </si>
  <si>
    <t>10060366</t>
  </si>
  <si>
    <t>CM0951-10060366</t>
  </si>
  <si>
    <t>7500478022373</t>
  </si>
  <si>
    <t>10060764</t>
  </si>
  <si>
    <t>CM0964-10060764</t>
  </si>
  <si>
    <t>712199088225</t>
  </si>
  <si>
    <t>10061218</t>
  </si>
  <si>
    <t>614</t>
  </si>
  <si>
    <t>0614</t>
  </si>
  <si>
    <t>CM0614-10061218</t>
  </si>
  <si>
    <t>712199087877</t>
  </si>
  <si>
    <t>10061403</t>
  </si>
  <si>
    <t>CM0614-10061403</t>
  </si>
  <si>
    <t>7500478013654</t>
  </si>
  <si>
    <t>10060796</t>
  </si>
  <si>
    <t>CM0850-10060796</t>
  </si>
  <si>
    <t>719886250316</t>
  </si>
  <si>
    <t>10061058</t>
  </si>
  <si>
    <t>CM0927-10061058</t>
  </si>
  <si>
    <t>7891109714454</t>
  </si>
  <si>
    <t>10061144</t>
  </si>
  <si>
    <t>CM0965-10061144</t>
  </si>
  <si>
    <t>712199087945</t>
  </si>
  <si>
    <t>10061405</t>
  </si>
  <si>
    <t>CM0614-10061405</t>
  </si>
  <si>
    <t>7503027214342</t>
  </si>
  <si>
    <t>10062492</t>
  </si>
  <si>
    <t>CM0945-10062492</t>
  </si>
  <si>
    <t>Faltante</t>
  </si>
  <si>
    <t>7500812046386</t>
  </si>
  <si>
    <t>10062756</t>
  </si>
  <si>
    <t>CM0623-10062756</t>
  </si>
  <si>
    <t>7501055381883</t>
  </si>
  <si>
    <t>10063997</t>
  </si>
  <si>
    <t>225</t>
  </si>
  <si>
    <t>0225</t>
  </si>
  <si>
    <t>CM0225-10063997</t>
  </si>
  <si>
    <t>7501022015377</t>
  </si>
  <si>
    <t>10064172</t>
  </si>
  <si>
    <t>966</t>
  </si>
  <si>
    <t>0966</t>
  </si>
  <si>
    <t>CM0966-10064172</t>
  </si>
  <si>
    <t>7501031311606</t>
  </si>
  <si>
    <t>10064214</t>
  </si>
  <si>
    <t>CM0966-10064214</t>
  </si>
  <si>
    <t>070330717565</t>
  </si>
  <si>
    <t>10057333</t>
  </si>
  <si>
    <t>CM0518-10057333</t>
  </si>
  <si>
    <t>036000183429</t>
  </si>
  <si>
    <t>10057497</t>
  </si>
  <si>
    <t>CM0224-10057497</t>
  </si>
  <si>
    <t>7501011131422</t>
  </si>
  <si>
    <t>10058550</t>
  </si>
  <si>
    <t>CM0501-10058550</t>
  </si>
  <si>
    <t>CM0965-10060739</t>
  </si>
  <si>
    <t>7500478014477</t>
  </si>
  <si>
    <t>10060799</t>
  </si>
  <si>
    <t>CM0850-10060799</t>
  </si>
  <si>
    <t>7500478021079</t>
  </si>
  <si>
    <t>10060813</t>
  </si>
  <si>
    <t>CM0964-10060813</t>
  </si>
  <si>
    <t>018804701412</t>
  </si>
  <si>
    <t>10062283</t>
  </si>
  <si>
    <t>CM0927-10062283</t>
  </si>
  <si>
    <t>7890557432293</t>
  </si>
  <si>
    <t>10065076</t>
  </si>
  <si>
    <t>CM0965-10065076</t>
  </si>
  <si>
    <t>7500000006960</t>
  </si>
  <si>
    <t>10067020</t>
  </si>
  <si>
    <t>CM0965-10067020</t>
  </si>
  <si>
    <t>14688C690408</t>
  </si>
  <si>
    <t>10006871</t>
  </si>
  <si>
    <t>CM0958-10006871</t>
  </si>
  <si>
    <t>14688C690508</t>
  </si>
  <si>
    <t>10006876</t>
  </si>
  <si>
    <t>CM0958-10006876</t>
  </si>
  <si>
    <t>14688C120908</t>
  </si>
  <si>
    <t>10007990</t>
  </si>
  <si>
    <t>CM0958-10007990</t>
  </si>
  <si>
    <t>A21ZVTE005</t>
  </si>
  <si>
    <t>10017348</t>
  </si>
  <si>
    <t>CM0940-10017348</t>
  </si>
  <si>
    <t>AKSAP08259</t>
  </si>
  <si>
    <t>10019246</t>
  </si>
  <si>
    <t>CM0940-10019246</t>
  </si>
  <si>
    <t>AK24STP032</t>
  </si>
  <si>
    <t>10022633</t>
  </si>
  <si>
    <t>CM0911-10022633</t>
  </si>
  <si>
    <t>AK24STP042</t>
  </si>
  <si>
    <t>10022641</t>
  </si>
  <si>
    <t>CM0911-10022641</t>
  </si>
  <si>
    <t>AK24STP045</t>
  </si>
  <si>
    <t>10022644</t>
  </si>
  <si>
    <t>CM0911-10022644</t>
  </si>
  <si>
    <t>MAYMARR-AG</t>
  </si>
  <si>
    <t>10027284</t>
  </si>
  <si>
    <t>CM0970-10027284</t>
  </si>
  <si>
    <t>CUPAN-AG</t>
  </si>
  <si>
    <t>10027559</t>
  </si>
  <si>
    <t>CM0970-10027559</t>
  </si>
  <si>
    <t>DAL-DJ6C-M</t>
  </si>
  <si>
    <t>10027579</t>
  </si>
  <si>
    <t>CM0970-10027579</t>
  </si>
  <si>
    <t>DALAR-CNAG</t>
  </si>
  <si>
    <t>10027584</t>
  </si>
  <si>
    <t>CM0970-10027584</t>
  </si>
  <si>
    <t>DALAR-CNAU</t>
  </si>
  <si>
    <t>10027585</t>
  </si>
  <si>
    <t>CM0970-10027585</t>
  </si>
  <si>
    <t>DALDJCH-CAU</t>
  </si>
  <si>
    <t>10027589</t>
  </si>
  <si>
    <t>CM0970-10027589</t>
  </si>
  <si>
    <t>DALDJG-CAG</t>
  </si>
  <si>
    <t>10027590</t>
  </si>
  <si>
    <t>CM0970-10027590</t>
  </si>
  <si>
    <t>DALDJG-CNAU</t>
  </si>
  <si>
    <t>10027592</t>
  </si>
  <si>
    <t>CM0970-10027592</t>
  </si>
  <si>
    <t>BOH-ARAB3</t>
  </si>
  <si>
    <t>10027853</t>
  </si>
  <si>
    <t>CM0970-10027853</t>
  </si>
  <si>
    <t>BOH-ARAB3-N</t>
  </si>
  <si>
    <t>10027855</t>
  </si>
  <si>
    <t>CM0970-10027855</t>
  </si>
  <si>
    <t>7501055303892</t>
  </si>
  <si>
    <t>10064074</t>
  </si>
  <si>
    <t>CM0966-10064074</t>
  </si>
  <si>
    <t>7501022009857</t>
  </si>
  <si>
    <t>10064608</t>
  </si>
  <si>
    <t>CM0850-10064608</t>
  </si>
  <si>
    <t>7895265369800</t>
  </si>
  <si>
    <t>10064756</t>
  </si>
  <si>
    <t>CM0965-10064756</t>
  </si>
  <si>
    <t>7500247962466</t>
  </si>
  <si>
    <t>10064884</t>
  </si>
  <si>
    <t>CM0623-10064884</t>
  </si>
  <si>
    <t>7891109714461</t>
  </si>
  <si>
    <t>10064909</t>
  </si>
  <si>
    <t>CM0965-10064909</t>
  </si>
  <si>
    <t>7891224634033</t>
  </si>
  <si>
    <t>10064956</t>
  </si>
  <si>
    <t>CM0965-10064956</t>
  </si>
  <si>
    <t>7891224634040</t>
  </si>
  <si>
    <t>10064957</t>
  </si>
  <si>
    <t>CM0965-10064957</t>
  </si>
  <si>
    <t>7890557722233</t>
  </si>
  <si>
    <t>10065096</t>
  </si>
  <si>
    <t>CM0965-10065096</t>
  </si>
  <si>
    <t>04545911</t>
  </si>
  <si>
    <t>10066871</t>
  </si>
  <si>
    <t>507</t>
  </si>
  <si>
    <t>0507</t>
  </si>
  <si>
    <t>CM0507-10066871</t>
  </si>
  <si>
    <t>7891109714478</t>
  </si>
  <si>
    <t>10064910</t>
  </si>
  <si>
    <t>CM0965-10064910</t>
  </si>
  <si>
    <t>7890557432309</t>
  </si>
  <si>
    <t>10065077</t>
  </si>
  <si>
    <t>CM0225-10065077</t>
  </si>
  <si>
    <t>7890557722219</t>
  </si>
  <si>
    <t>10065094</t>
  </si>
  <si>
    <t>CM0965-10065094</t>
  </si>
  <si>
    <t>04545963</t>
  </si>
  <si>
    <t>10066820</t>
  </si>
  <si>
    <t>CM0623-10066820</t>
  </si>
  <si>
    <t>04545889</t>
  </si>
  <si>
    <t>10066868</t>
  </si>
  <si>
    <t>617</t>
  </si>
  <si>
    <t>0617</t>
  </si>
  <si>
    <t>CM0617-10066868</t>
  </si>
  <si>
    <t>8056597918947</t>
  </si>
  <si>
    <t>10068108</t>
  </si>
  <si>
    <t>CM0927-10068108</t>
  </si>
  <si>
    <t>714133003110</t>
  </si>
  <si>
    <t>10070518</t>
  </si>
  <si>
    <t>CM0969-10070518</t>
  </si>
  <si>
    <t>08004033</t>
  </si>
  <si>
    <t>10071220</t>
  </si>
  <si>
    <t>CM0964-10071220</t>
  </si>
  <si>
    <t>7501836009746</t>
  </si>
  <si>
    <t>10071742</t>
  </si>
  <si>
    <t>CM0224-10071742</t>
  </si>
  <si>
    <t>04545110</t>
  </si>
  <si>
    <t>10067179</t>
  </si>
  <si>
    <t>CM0507-10067179</t>
  </si>
  <si>
    <t>7501699200021</t>
  </si>
  <si>
    <t>10070299</t>
  </si>
  <si>
    <t>973</t>
  </si>
  <si>
    <t>0973</t>
  </si>
  <si>
    <t>CM0973-10070299</t>
  </si>
  <si>
    <t>220630210904</t>
  </si>
  <si>
    <t>10070930</t>
  </si>
  <si>
    <t>CM0973-10070930</t>
  </si>
  <si>
    <t>7501318658189</t>
  </si>
  <si>
    <t>10071781</t>
  </si>
  <si>
    <t>CM0224-10071781</t>
  </si>
  <si>
    <t>3337875597180</t>
  </si>
  <si>
    <t>10072804</t>
  </si>
  <si>
    <t>CM0224-10072804</t>
  </si>
  <si>
    <t>079656138375</t>
  </si>
  <si>
    <t>10072823</t>
  </si>
  <si>
    <t>516</t>
  </si>
  <si>
    <t>0516</t>
  </si>
  <si>
    <t>CM0516-10072823</t>
  </si>
  <si>
    <t>7610700014721</t>
  </si>
  <si>
    <t>10073749</t>
  </si>
  <si>
    <t>CM0504-10073749</t>
  </si>
  <si>
    <t>7501056360412</t>
  </si>
  <si>
    <t>10074605</t>
  </si>
  <si>
    <t>CM0504-10074605</t>
  </si>
  <si>
    <t>7501007532349</t>
  </si>
  <si>
    <t>10074787</t>
  </si>
  <si>
    <t>CM0504-10074787</t>
  </si>
  <si>
    <t>7500435246293</t>
  </si>
  <si>
    <t>10074794</t>
  </si>
  <si>
    <t>CM0969-10074794</t>
  </si>
  <si>
    <t>7500435246309</t>
  </si>
  <si>
    <t>10074795</t>
  </si>
  <si>
    <t>CM0969-10074795</t>
  </si>
  <si>
    <t>736085410211</t>
  </si>
  <si>
    <t>10074834</t>
  </si>
  <si>
    <t>CM0504-10074834</t>
  </si>
  <si>
    <t>729513130027</t>
  </si>
  <si>
    <t>10074877</t>
  </si>
  <si>
    <t>CM0504-10074877</t>
  </si>
  <si>
    <t>14134D402517</t>
  </si>
  <si>
    <t>10074899</t>
  </si>
  <si>
    <t>CM0956-10074899</t>
  </si>
  <si>
    <t>14134D410917</t>
  </si>
  <si>
    <t>10074900</t>
  </si>
  <si>
    <t>CM0956-10074900</t>
  </si>
  <si>
    <t>14698D120917</t>
  </si>
  <si>
    <t>10074916</t>
  </si>
  <si>
    <t>CM0969-10074916</t>
  </si>
  <si>
    <t>140532033517</t>
  </si>
  <si>
    <t>10075112</t>
  </si>
  <si>
    <t>CM0958-10075112</t>
  </si>
  <si>
    <t>916717693896</t>
  </si>
  <si>
    <t>10075317</t>
  </si>
  <si>
    <t>CM0623-10075317</t>
  </si>
  <si>
    <t>7501070600709</t>
  </si>
  <si>
    <t>10074526</t>
  </si>
  <si>
    <t>CM0504-10074526</t>
  </si>
  <si>
    <t>7501070600730</t>
  </si>
  <si>
    <t>10074527</t>
  </si>
  <si>
    <t>CM0504-10074527</t>
  </si>
  <si>
    <t>7501008499702</t>
  </si>
  <si>
    <t>10074742</t>
  </si>
  <si>
    <t>CM0951-10074742</t>
  </si>
  <si>
    <t>7501001168933</t>
  </si>
  <si>
    <t>10074772</t>
  </si>
  <si>
    <t>CM0518-10074772</t>
  </si>
  <si>
    <t>14698D100917</t>
  </si>
  <si>
    <t>10074914</t>
  </si>
  <si>
    <t>CM0969-10074914</t>
  </si>
  <si>
    <t>140532604117</t>
  </si>
  <si>
    <t>10075082</t>
  </si>
  <si>
    <t>CM0958-10075082</t>
  </si>
  <si>
    <t>140532503917</t>
  </si>
  <si>
    <t>10075121</t>
  </si>
  <si>
    <t>CM0965-10075121</t>
  </si>
  <si>
    <t>140532573517</t>
  </si>
  <si>
    <t>10075128</t>
  </si>
  <si>
    <t>CM0958-10075128</t>
  </si>
  <si>
    <t>08024526</t>
  </si>
  <si>
    <t>10075720</t>
  </si>
  <si>
    <t>CM0518-10075720</t>
  </si>
  <si>
    <t>08024514</t>
  </si>
  <si>
    <t>10075715</t>
  </si>
  <si>
    <t>CM0518-10075715</t>
  </si>
  <si>
    <t>7502216129108</t>
  </si>
  <si>
    <t>10075907</t>
  </si>
  <si>
    <t>CM0501-10075907</t>
  </si>
  <si>
    <t>050601116</t>
  </si>
  <si>
    <t>10079276</t>
  </si>
  <si>
    <t>CM0965-10079276</t>
  </si>
  <si>
    <t>04392912</t>
  </si>
  <si>
    <t>10079805</t>
  </si>
  <si>
    <t>CM0917-10079805</t>
  </si>
  <si>
    <t>04748019</t>
  </si>
  <si>
    <t>10080056</t>
  </si>
  <si>
    <t>613</t>
  </si>
  <si>
    <t>0613</t>
  </si>
  <si>
    <t>CM0613-10080056</t>
  </si>
  <si>
    <t>160097840100</t>
  </si>
  <si>
    <t>10080222</t>
  </si>
  <si>
    <t>CM0613-10080222</t>
  </si>
  <si>
    <t>160181592603</t>
  </si>
  <si>
    <t>10080233</t>
  </si>
  <si>
    <t>CM0939-10080233</t>
  </si>
  <si>
    <t>051054235375</t>
  </si>
  <si>
    <t>10082491</t>
  </si>
  <si>
    <t>CM0953-10082491</t>
  </si>
  <si>
    <t>051054236594</t>
  </si>
  <si>
    <t>10082503</t>
  </si>
  <si>
    <t>CM0953-10082503</t>
  </si>
  <si>
    <t>04545309</t>
  </si>
  <si>
    <t>10067118</t>
  </si>
  <si>
    <t>CM0916-10067118</t>
  </si>
  <si>
    <t>721123456757</t>
  </si>
  <si>
    <t>10070502</t>
  </si>
  <si>
    <t>CM0225-10070502</t>
  </si>
  <si>
    <t>714133007057</t>
  </si>
  <si>
    <t>10070524</t>
  </si>
  <si>
    <t>CM0969-10070524</t>
  </si>
  <si>
    <t>6941057455709</t>
  </si>
  <si>
    <t>10070760</t>
  </si>
  <si>
    <t>CM0518-10070760</t>
  </si>
  <si>
    <t>08004032</t>
  </si>
  <si>
    <t>10071219</t>
  </si>
  <si>
    <t>CM0964-10071219</t>
  </si>
  <si>
    <t>8429420144835</t>
  </si>
  <si>
    <t>10071340</t>
  </si>
  <si>
    <t>CM0224-10071340</t>
  </si>
  <si>
    <t>8429420152120</t>
  </si>
  <si>
    <t>10071342</t>
  </si>
  <si>
    <t>CM0224-10071342</t>
  </si>
  <si>
    <t>3282770030068</t>
  </si>
  <si>
    <t>10072856</t>
  </si>
  <si>
    <t>CM0224-10072856</t>
  </si>
  <si>
    <t>7610700014783</t>
  </si>
  <si>
    <t>10073703</t>
  </si>
  <si>
    <t>CM0504-10073703</t>
  </si>
  <si>
    <t>7501054504870</t>
  </si>
  <si>
    <t>10075964</t>
  </si>
  <si>
    <t>CM0504-10075964</t>
  </si>
  <si>
    <t>050601237</t>
  </si>
  <si>
    <t>10079106</t>
  </si>
  <si>
    <t>CM0965-10079106</t>
  </si>
  <si>
    <t>050601455</t>
  </si>
  <si>
    <t>10079121</t>
  </si>
  <si>
    <t>CM0969-10079121</t>
  </si>
  <si>
    <t>050601126</t>
  </si>
  <si>
    <t>10079281</t>
  </si>
  <si>
    <t>CM0965-10079281</t>
  </si>
  <si>
    <t>050601193</t>
  </si>
  <si>
    <t>10079301</t>
  </si>
  <si>
    <t>CM0965-10079301</t>
  </si>
  <si>
    <t>187001108666</t>
  </si>
  <si>
    <t>10079654</t>
  </si>
  <si>
    <t>CM0927-10079654</t>
  </si>
  <si>
    <t>187001123119</t>
  </si>
  <si>
    <t>10079655</t>
  </si>
  <si>
    <t>CM0927-10079655</t>
  </si>
  <si>
    <t>160061002405</t>
  </si>
  <si>
    <t>10080266</t>
  </si>
  <si>
    <t>CM0973-10080266</t>
  </si>
  <si>
    <t>051054235368</t>
  </si>
  <si>
    <t>10082490</t>
  </si>
  <si>
    <t>CM0953-10082490</t>
  </si>
  <si>
    <t>051054236419</t>
  </si>
  <si>
    <t>10082498</t>
  </si>
  <si>
    <t>CM0953-10082498</t>
  </si>
  <si>
    <t>051054236563</t>
  </si>
  <si>
    <t>10082500</t>
  </si>
  <si>
    <t>CM0953-10082500</t>
  </si>
  <si>
    <t>051054236570</t>
  </si>
  <si>
    <t>10082501</t>
  </si>
  <si>
    <t>CM0953-10082501</t>
  </si>
  <si>
    <t>051054240577</t>
  </si>
  <si>
    <t>10082541</t>
  </si>
  <si>
    <t>CM0971-10082541</t>
  </si>
  <si>
    <t>050301650</t>
  </si>
  <si>
    <t>10082593</t>
  </si>
  <si>
    <t>CM0969-10082593</t>
  </si>
  <si>
    <t>030673148204</t>
  </si>
  <si>
    <t>10082979</t>
  </si>
  <si>
    <t>CM0953-10082979</t>
  </si>
  <si>
    <t>030673151440</t>
  </si>
  <si>
    <t>10082981</t>
  </si>
  <si>
    <t>CM0953-10082981</t>
  </si>
  <si>
    <t>030673151594</t>
  </si>
  <si>
    <t>10082984</t>
  </si>
  <si>
    <t>CM0953-10082984</t>
  </si>
  <si>
    <t>030673876206</t>
  </si>
  <si>
    <t>10083059</t>
  </si>
  <si>
    <t>CM0953-10083059</t>
  </si>
  <si>
    <t>050301651</t>
  </si>
  <si>
    <t>10082594</t>
  </si>
  <si>
    <t>CM0969-10082594</t>
  </si>
  <si>
    <t>030673148198</t>
  </si>
  <si>
    <t>10082978</t>
  </si>
  <si>
    <t>CM0953-10082978</t>
  </si>
  <si>
    <t>030673151570</t>
  </si>
  <si>
    <t>10082982</t>
  </si>
  <si>
    <t>CM0952-10082982</t>
  </si>
  <si>
    <t>030673904992</t>
  </si>
  <si>
    <t>10083065</t>
  </si>
  <si>
    <t>CM0953-10083065</t>
  </si>
  <si>
    <t>7500478044160</t>
  </si>
  <si>
    <t>10083319</t>
  </si>
  <si>
    <t>CM0850-10083319</t>
  </si>
  <si>
    <t>22045030</t>
  </si>
  <si>
    <t>10083919</t>
  </si>
  <si>
    <t>CM0953-10083919</t>
  </si>
  <si>
    <t>160610049601</t>
  </si>
  <si>
    <t>10085187</t>
  </si>
  <si>
    <t>CM0953-10085187</t>
  </si>
  <si>
    <t>160258180102</t>
  </si>
  <si>
    <t>10085865</t>
  </si>
  <si>
    <t>CM0971-10085865</t>
  </si>
  <si>
    <t>160258301002</t>
  </si>
  <si>
    <t>10085886</t>
  </si>
  <si>
    <t>CM0953-10085886</t>
  </si>
  <si>
    <t>160258301003</t>
  </si>
  <si>
    <t>10085887</t>
  </si>
  <si>
    <t>CM0953-10085887</t>
  </si>
  <si>
    <t>160258301004</t>
  </si>
  <si>
    <t>10085888</t>
  </si>
  <si>
    <t>CM0953-10085888</t>
  </si>
  <si>
    <t>160217261210</t>
  </si>
  <si>
    <t>10085929</t>
  </si>
  <si>
    <t>CM0971-10085929</t>
  </si>
  <si>
    <t>160181590103</t>
  </si>
  <si>
    <t>10085991</t>
  </si>
  <si>
    <t>CM0939-10085991</t>
  </si>
  <si>
    <t>7506609908554</t>
  </si>
  <si>
    <t>10088614</t>
  </si>
  <si>
    <t>CM0953-10088614</t>
  </si>
  <si>
    <t>7506609908646</t>
  </si>
  <si>
    <t>10088623</t>
  </si>
  <si>
    <t>CM0953-10088623</t>
  </si>
  <si>
    <t>7506609908691</t>
  </si>
  <si>
    <t>10088628</t>
  </si>
  <si>
    <t>CM0953-10088628</t>
  </si>
  <si>
    <t>7506609908325</t>
  </si>
  <si>
    <t>10088630</t>
  </si>
  <si>
    <t>CM0953-10088630</t>
  </si>
  <si>
    <t>7506609908349</t>
  </si>
  <si>
    <t>10088632</t>
  </si>
  <si>
    <t>CM0953-10088632</t>
  </si>
  <si>
    <t>7501070612979</t>
  </si>
  <si>
    <t>10083186</t>
  </si>
  <si>
    <t>CM0945-10083186</t>
  </si>
  <si>
    <t>16319920</t>
  </si>
  <si>
    <t>10084748</t>
  </si>
  <si>
    <t>CM0968-10084748</t>
  </si>
  <si>
    <t>160600091210</t>
  </si>
  <si>
    <t>10085139</t>
  </si>
  <si>
    <t>CM0953-10085139</t>
  </si>
  <si>
    <t>160251322402</t>
  </si>
  <si>
    <t>10085834</t>
  </si>
  <si>
    <t>CM0953-10085834</t>
  </si>
  <si>
    <t>160258232402</t>
  </si>
  <si>
    <t>10085878</t>
  </si>
  <si>
    <t>CM0953-10085878</t>
  </si>
  <si>
    <t>160258242402</t>
  </si>
  <si>
    <t>10085879</t>
  </si>
  <si>
    <t>CM0971-10085879</t>
  </si>
  <si>
    <t>AKSA-P00222</t>
  </si>
  <si>
    <t>10087407</t>
  </si>
  <si>
    <t>CM0940-10087407</t>
  </si>
  <si>
    <t>AKSA-P01322</t>
  </si>
  <si>
    <t>10087411</t>
  </si>
  <si>
    <t>CM0940-10087411</t>
  </si>
  <si>
    <t>AKSAP04801</t>
  </si>
  <si>
    <t>10087439</t>
  </si>
  <si>
    <t>CM0940-10087439</t>
  </si>
  <si>
    <t>AKSAP06533</t>
  </si>
  <si>
    <t>10087440</t>
  </si>
  <si>
    <t>CM0940-10087440</t>
  </si>
  <si>
    <t>7909806629152</t>
  </si>
  <si>
    <t>10088131</t>
  </si>
  <si>
    <t>CM0914-10088131</t>
  </si>
  <si>
    <t>7890732429865</t>
  </si>
  <si>
    <t>10088257</t>
  </si>
  <si>
    <t>CM0965-10088257</t>
  </si>
  <si>
    <t>767461763836</t>
  </si>
  <si>
    <t>10088360</t>
  </si>
  <si>
    <t>CM0509-10088360</t>
  </si>
  <si>
    <t>767461763843</t>
  </si>
  <si>
    <t>10088361</t>
  </si>
  <si>
    <t>CM0509-10088361</t>
  </si>
  <si>
    <t>7506609908523</t>
  </si>
  <si>
    <t>10088611</t>
  </si>
  <si>
    <t>CM0953-10088611</t>
  </si>
  <si>
    <t>7506609908578</t>
  </si>
  <si>
    <t>10088616</t>
  </si>
  <si>
    <t>CM0953-10088616</t>
  </si>
  <si>
    <t>7506609908622</t>
  </si>
  <si>
    <t>10088621</t>
  </si>
  <si>
    <t>CM0953-10088621</t>
  </si>
  <si>
    <t>7506609908653</t>
  </si>
  <si>
    <t>10088624</t>
  </si>
  <si>
    <t>CM0953-10088624</t>
  </si>
  <si>
    <t>7610700017241</t>
  </si>
  <si>
    <t>10073704</t>
  </si>
  <si>
    <t>CM0504-10073704</t>
  </si>
  <si>
    <t>7501048620159</t>
  </si>
  <si>
    <t>10074617</t>
  </si>
  <si>
    <t>CM0504-10074617</t>
  </si>
  <si>
    <t>7501008486559</t>
  </si>
  <si>
    <t>10074753</t>
  </si>
  <si>
    <t>CM0504-10074753</t>
  </si>
  <si>
    <t>714706910487</t>
  </si>
  <si>
    <t>10074951</t>
  </si>
  <si>
    <t>CM0504-10074951</t>
  </si>
  <si>
    <t>140532600017</t>
  </si>
  <si>
    <t>10075076</t>
  </si>
  <si>
    <t>CM0958-10075076</t>
  </si>
  <si>
    <t>CM0965-10075076</t>
  </si>
  <si>
    <t>650240031700</t>
  </si>
  <si>
    <t>10075098</t>
  </si>
  <si>
    <t>CM0518-10075098</t>
  </si>
  <si>
    <t>140532500017</t>
  </si>
  <si>
    <t>10075116</t>
  </si>
  <si>
    <t>CM0958-10075116</t>
  </si>
  <si>
    <t>140532570017</t>
  </si>
  <si>
    <t>10075124</t>
  </si>
  <si>
    <t>CM0965-10075124</t>
  </si>
  <si>
    <t>7506609908370</t>
  </si>
  <si>
    <t>10088635</t>
  </si>
  <si>
    <t>CM0953-10088635</t>
  </si>
  <si>
    <t>7506609908417</t>
  </si>
  <si>
    <t>10088639</t>
  </si>
  <si>
    <t>CM0953-10088639</t>
  </si>
  <si>
    <t>7506609908424</t>
  </si>
  <si>
    <t>10088640</t>
  </si>
  <si>
    <t>CM0953-10088640</t>
  </si>
  <si>
    <t>7506609905959</t>
  </si>
  <si>
    <t>10088657</t>
  </si>
  <si>
    <t>CM0953-10088657</t>
  </si>
  <si>
    <t>7506521907529</t>
  </si>
  <si>
    <t>10088689</t>
  </si>
  <si>
    <t>CM0953-10088689</t>
  </si>
  <si>
    <t>7506399798519</t>
  </si>
  <si>
    <t>10089203</t>
  </si>
  <si>
    <t>CM0914-10089203</t>
  </si>
  <si>
    <t>7506416657409</t>
  </si>
  <si>
    <t>10089219</t>
  </si>
  <si>
    <t>CM0971-10089219</t>
  </si>
  <si>
    <t>Z25141034S21016</t>
  </si>
  <si>
    <t>10090104</t>
  </si>
  <si>
    <t>CM0910-10090104</t>
  </si>
  <si>
    <t>7895653143616</t>
  </si>
  <si>
    <t>10090738</t>
  </si>
  <si>
    <t>CM0953-10090738</t>
  </si>
  <si>
    <t>7506609905904</t>
  </si>
  <si>
    <t>10088652</t>
  </si>
  <si>
    <t>CM0953-10088652</t>
  </si>
  <si>
    <t>7506609905911</t>
  </si>
  <si>
    <t>10088653</t>
  </si>
  <si>
    <t>CM0953-10088653</t>
  </si>
  <si>
    <t>Z25141034L02012</t>
  </si>
  <si>
    <t>10090092</t>
  </si>
  <si>
    <t>CM0910-10090092</t>
  </si>
  <si>
    <t>8056262043417</t>
  </si>
  <si>
    <t>10090742</t>
  </si>
  <si>
    <t>CM0953-10090742</t>
  </si>
  <si>
    <t>8056597785327</t>
  </si>
  <si>
    <t>10090749</t>
  </si>
  <si>
    <t>CM0953-10090749</t>
  </si>
  <si>
    <t>888392489333</t>
  </si>
  <si>
    <t>10090754</t>
  </si>
  <si>
    <t>CM0953-10090754</t>
  </si>
  <si>
    <t>888392593696</t>
  </si>
  <si>
    <t>10090757</t>
  </si>
  <si>
    <t>CM0953-10090757</t>
  </si>
  <si>
    <t>7501001502058</t>
  </si>
  <si>
    <t>10091051</t>
  </si>
  <si>
    <t>CM0518-10091051</t>
  </si>
  <si>
    <t>7501001502065</t>
  </si>
  <si>
    <t>10091052</t>
  </si>
  <si>
    <t>CM0518-10091052</t>
  </si>
  <si>
    <t>650240006647</t>
  </si>
  <si>
    <t>10075162</t>
  </si>
  <si>
    <t>CM0507-10075162</t>
  </si>
  <si>
    <t>305210206779</t>
  </si>
  <si>
    <t>10076010</t>
  </si>
  <si>
    <t>CM0504-10076010</t>
  </si>
  <si>
    <t>050601247</t>
  </si>
  <si>
    <t>10079108</t>
  </si>
  <si>
    <t>CM0965-10079108</t>
  </si>
  <si>
    <t>CM0956-10079121</t>
  </si>
  <si>
    <t>050601473</t>
  </si>
  <si>
    <t>10079123</t>
  </si>
  <si>
    <t>CM0969-10079123</t>
  </si>
  <si>
    <t>050601129</t>
  </si>
  <si>
    <t>10079283</t>
  </si>
  <si>
    <t>CM0965-10079283</t>
  </si>
  <si>
    <t>050601150</t>
  </si>
  <si>
    <t>10079289</t>
  </si>
  <si>
    <t>CM0965-10079289</t>
  </si>
  <si>
    <t>050601191</t>
  </si>
  <si>
    <t>10079300</t>
  </si>
  <si>
    <t>CM0965-10079300</t>
  </si>
  <si>
    <t>04392911</t>
  </si>
  <si>
    <t>10079804</t>
  </si>
  <si>
    <t>CM0917-10079804</t>
  </si>
  <si>
    <t>04653035</t>
  </si>
  <si>
    <t>10080035</t>
  </si>
  <si>
    <t>CM0518-10080035</t>
  </si>
  <si>
    <t>051054235399</t>
  </si>
  <si>
    <t>10082493</t>
  </si>
  <si>
    <t>CM0953-10082493</t>
  </si>
  <si>
    <t>051054235962</t>
  </si>
  <si>
    <t>10082494</t>
  </si>
  <si>
    <t>CM0953-10082494</t>
  </si>
  <si>
    <t>051054236402</t>
  </si>
  <si>
    <t>10082497</t>
  </si>
  <si>
    <t>CM0953-10082497</t>
  </si>
  <si>
    <t>051054236426</t>
  </si>
  <si>
    <t>10082499</t>
  </si>
  <si>
    <t>CM0953-10082499</t>
  </si>
  <si>
    <t>051054236587</t>
  </si>
  <si>
    <t>10082502</t>
  </si>
  <si>
    <t>CM0953-10082502</t>
  </si>
  <si>
    <t>051054240584</t>
  </si>
  <si>
    <t>10082542</t>
  </si>
  <si>
    <t>CM0971-10082542</t>
  </si>
  <si>
    <t>050301500</t>
  </si>
  <si>
    <t>10082589</t>
  </si>
  <si>
    <t>CM0969-10082589</t>
  </si>
  <si>
    <t>050301652</t>
  </si>
  <si>
    <t>10082595</t>
  </si>
  <si>
    <t>CM0956-10082595</t>
  </si>
  <si>
    <t>955</t>
  </si>
  <si>
    <t>0955</t>
  </si>
  <si>
    <t>CM0955-10090738</t>
  </si>
  <si>
    <t>888392593481</t>
  </si>
  <si>
    <t>10090756</t>
  </si>
  <si>
    <t>CM0953-10090756</t>
  </si>
  <si>
    <t>14328E214408</t>
  </si>
  <si>
    <t>10091557</t>
  </si>
  <si>
    <t>CM0965-10091557</t>
  </si>
  <si>
    <t>14323E250905</t>
  </si>
  <si>
    <t>10091595</t>
  </si>
  <si>
    <t>CM0965-10091595</t>
  </si>
  <si>
    <t>14011E420907</t>
  </si>
  <si>
    <t>10091812</t>
  </si>
  <si>
    <t>CM0969-10091812</t>
  </si>
  <si>
    <t>750069040087</t>
  </si>
  <si>
    <t>10098323</t>
  </si>
  <si>
    <t>CM0939-10098323</t>
  </si>
  <si>
    <t>750069090166XL</t>
  </si>
  <si>
    <t>10098385</t>
  </si>
  <si>
    <t>CM0939-10098385</t>
  </si>
  <si>
    <t>Z25240034902000</t>
  </si>
  <si>
    <t>10100094</t>
  </si>
  <si>
    <t>622</t>
  </si>
  <si>
    <t>0622</t>
  </si>
  <si>
    <t>CM0622-10100094</t>
  </si>
  <si>
    <t>Z25240035914000</t>
  </si>
  <si>
    <t>10100095</t>
  </si>
  <si>
    <t>CM0623-10100095</t>
  </si>
  <si>
    <t>160300192410</t>
  </si>
  <si>
    <t>10091394</t>
  </si>
  <si>
    <t>CM0965-10091394</t>
  </si>
  <si>
    <t>CM0969-10091394</t>
  </si>
  <si>
    <t>14328E231005</t>
  </si>
  <si>
    <t>10091569</t>
  </si>
  <si>
    <t>CM0965-10091569</t>
  </si>
  <si>
    <t>14323E250906</t>
  </si>
  <si>
    <t>10091596</t>
  </si>
  <si>
    <t>CM0965-10091596</t>
  </si>
  <si>
    <t>14319E285606</t>
  </si>
  <si>
    <t>10091648</t>
  </si>
  <si>
    <t>CM0958-10091648</t>
  </si>
  <si>
    <t>14011E420908</t>
  </si>
  <si>
    <t>10091813</t>
  </si>
  <si>
    <t>CM0969-10091813</t>
  </si>
  <si>
    <t>750069040085</t>
  </si>
  <si>
    <t>10098322</t>
  </si>
  <si>
    <t>CM0939-10098322</t>
  </si>
  <si>
    <t>750069040091</t>
  </si>
  <si>
    <t>10098324</t>
  </si>
  <si>
    <t>CM0939-10098324</t>
  </si>
  <si>
    <t>750069090185XL</t>
  </si>
  <si>
    <t>10098394</t>
  </si>
  <si>
    <t>CM0939-10098394</t>
  </si>
  <si>
    <t>7500478046034</t>
  </si>
  <si>
    <t>10101110</t>
  </si>
  <si>
    <t>CM0966-10101110</t>
  </si>
  <si>
    <t>160060962305</t>
  </si>
  <si>
    <t>10101626</t>
  </si>
  <si>
    <t>CM0971-10101626</t>
  </si>
  <si>
    <t>030673876183</t>
  </si>
  <si>
    <t>10101915</t>
  </si>
  <si>
    <t>CM0953-10101915</t>
  </si>
  <si>
    <t>030673876657</t>
  </si>
  <si>
    <t>10083060</t>
  </si>
  <si>
    <t>CM0953-10083060</t>
  </si>
  <si>
    <t>160610341200</t>
  </si>
  <si>
    <t>10085061</t>
  </si>
  <si>
    <t>CM0971-10085061</t>
  </si>
  <si>
    <t>160328159110</t>
  </si>
  <si>
    <t>10085596</t>
  </si>
  <si>
    <t>CM0969-10085596</t>
  </si>
  <si>
    <t>160328169010</t>
  </si>
  <si>
    <t>10085599</t>
  </si>
  <si>
    <t>CM0969-10085599</t>
  </si>
  <si>
    <t>160328169110</t>
  </si>
  <si>
    <t>10085600</t>
  </si>
  <si>
    <t>CM0969-10085600</t>
  </si>
  <si>
    <t>160251220404</t>
  </si>
  <si>
    <t>10085826</t>
  </si>
  <si>
    <t>CM0953-10085826</t>
  </si>
  <si>
    <t>AKSA-P00931</t>
  </si>
  <si>
    <t>10087410</t>
  </si>
  <si>
    <t>CM0940-10087410</t>
  </si>
  <si>
    <t>AKSA-P01632</t>
  </si>
  <si>
    <t>10087413</t>
  </si>
  <si>
    <t>CM0940-10087413</t>
  </si>
  <si>
    <t>A21TZR002</t>
  </si>
  <si>
    <t>10087607</t>
  </si>
  <si>
    <t>CM0940-10087607</t>
  </si>
  <si>
    <t>7506609908547</t>
  </si>
  <si>
    <t>10088613</t>
  </si>
  <si>
    <t>CM0953-10088613</t>
  </si>
  <si>
    <t>7506609908615</t>
  </si>
  <si>
    <t>10088620</t>
  </si>
  <si>
    <t>CM0953-10088620</t>
  </si>
  <si>
    <t>7506609908639</t>
  </si>
  <si>
    <t>10088622</t>
  </si>
  <si>
    <t>CM0953-10088622</t>
  </si>
  <si>
    <t>7506609908660</t>
  </si>
  <si>
    <t>10088625</t>
  </si>
  <si>
    <t>CM0953-10088625</t>
  </si>
  <si>
    <t>7506609908431</t>
  </si>
  <si>
    <t>10088641</t>
  </si>
  <si>
    <t>CM0953-10088641</t>
  </si>
  <si>
    <t>7506609905928</t>
  </si>
  <si>
    <t>10088654</t>
  </si>
  <si>
    <t>CM0953-10088654</t>
  </si>
  <si>
    <t>7506609908295</t>
  </si>
  <si>
    <t>10088669</t>
  </si>
  <si>
    <t>CM0953-10088669</t>
  </si>
  <si>
    <t>7506521907499</t>
  </si>
  <si>
    <t>10088686</t>
  </si>
  <si>
    <t>CM0953-10088686</t>
  </si>
  <si>
    <t>CM0953-10089219</t>
  </si>
  <si>
    <t>Z25240033917000</t>
  </si>
  <si>
    <t>10100093</t>
  </si>
  <si>
    <t>CM0623-10100093</t>
  </si>
  <si>
    <t>030673472064</t>
  </si>
  <si>
    <t>10101900</t>
  </si>
  <si>
    <t>CM0953-10101900</t>
  </si>
  <si>
    <t>030673876169</t>
  </si>
  <si>
    <t>10101913</t>
  </si>
  <si>
    <t>CM0953-10101913</t>
  </si>
  <si>
    <t>030673876176</t>
  </si>
  <si>
    <t>10101914</t>
  </si>
  <si>
    <t>CM0953-10101914</t>
  </si>
  <si>
    <t>7506392900247</t>
  </si>
  <si>
    <t>10089228</t>
  </si>
  <si>
    <t>CM0953-10089228</t>
  </si>
  <si>
    <t>7506392900278</t>
  </si>
  <si>
    <t>10089231</t>
  </si>
  <si>
    <t>CM0953-10089231</t>
  </si>
  <si>
    <t>Z25141034L02008</t>
  </si>
  <si>
    <t>10090090</t>
  </si>
  <si>
    <t>CM0910-10090090</t>
  </si>
  <si>
    <t>Z25141034L02010</t>
  </si>
  <si>
    <t>10090091</t>
  </si>
  <si>
    <t>CM0910-10090091</t>
  </si>
  <si>
    <t>Z25141034L02016</t>
  </si>
  <si>
    <t>10090094</t>
  </si>
  <si>
    <t>CM0910-10090094</t>
  </si>
  <si>
    <t>Z25141034S21008</t>
  </si>
  <si>
    <t>10090100</t>
  </si>
  <si>
    <t>CM0910-10090100</t>
  </si>
  <si>
    <t>Z25141034S21010</t>
  </si>
  <si>
    <t>10090101</t>
  </si>
  <si>
    <t>CM0910-10090101</t>
  </si>
  <si>
    <t>Z25141034S21012</t>
  </si>
  <si>
    <t>10090102</t>
  </si>
  <si>
    <t>CM0910-10090102</t>
  </si>
  <si>
    <t>Z25141034S21014</t>
  </si>
  <si>
    <t>10090103</t>
  </si>
  <si>
    <t>CM0910-10090103</t>
  </si>
  <si>
    <t>8056262017203</t>
  </si>
  <si>
    <t>10090741</t>
  </si>
  <si>
    <t>CM0955-10090741</t>
  </si>
  <si>
    <t>8056262095287</t>
  </si>
  <si>
    <t>10090743</t>
  </si>
  <si>
    <t>CM0955-10090743</t>
  </si>
  <si>
    <t>8056597073219</t>
  </si>
  <si>
    <t>10090745</t>
  </si>
  <si>
    <t>CM0955-10090745</t>
  </si>
  <si>
    <t>8056597726023</t>
  </si>
  <si>
    <t>10090748</t>
  </si>
  <si>
    <t>CM0953-10090748</t>
  </si>
  <si>
    <t>888392104991</t>
  </si>
  <si>
    <t>10090753</t>
  </si>
  <si>
    <t>CM0953-10090753</t>
  </si>
  <si>
    <t>CM0955-10090753</t>
  </si>
  <si>
    <t>888392593405</t>
  </si>
  <si>
    <t>10090755</t>
  </si>
  <si>
    <t>CM0953-10090755</t>
  </si>
  <si>
    <t>CM0955-10090755</t>
  </si>
  <si>
    <t>7501001502041</t>
  </si>
  <si>
    <t>10091050</t>
  </si>
  <si>
    <t>CM0518-10091050</t>
  </si>
  <si>
    <t>7501001502072</t>
  </si>
  <si>
    <t>10091053</t>
  </si>
  <si>
    <t>CM0518-10091053</t>
  </si>
  <si>
    <t>7501001502249</t>
  </si>
  <si>
    <t>10091070</t>
  </si>
  <si>
    <t>CM0518-10091070</t>
  </si>
  <si>
    <t>7501001502294</t>
  </si>
  <si>
    <t>10091075</t>
  </si>
  <si>
    <t>CM0518-10091075</t>
  </si>
  <si>
    <t>7501001502317</t>
  </si>
  <si>
    <t>10091077</t>
  </si>
  <si>
    <t>CM0518-10091077</t>
  </si>
  <si>
    <t>7501001501846</t>
  </si>
  <si>
    <t>10091119</t>
  </si>
  <si>
    <t>CM0518-10091119</t>
  </si>
  <si>
    <t>7501001501860</t>
  </si>
  <si>
    <t>10091121</t>
  </si>
  <si>
    <t>CM0518-10091121</t>
  </si>
  <si>
    <t>7500478043927</t>
  </si>
  <si>
    <t>10091166</t>
  </si>
  <si>
    <t>CM0966-10091166</t>
  </si>
  <si>
    <t>7500478043958</t>
  </si>
  <si>
    <t>10091168</t>
  </si>
  <si>
    <t>CM0966-10091168</t>
  </si>
  <si>
    <t>7500478043965</t>
  </si>
  <si>
    <t>10091169</t>
  </si>
  <si>
    <t>CM0966-10091169</t>
  </si>
  <si>
    <t>7500478044214</t>
  </si>
  <si>
    <t>10091173</t>
  </si>
  <si>
    <t>CM0966-10091173</t>
  </si>
  <si>
    <t>14328E214407</t>
  </si>
  <si>
    <t>10091556</t>
  </si>
  <si>
    <t>CM0965-10091556</t>
  </si>
  <si>
    <t>14328E231006</t>
  </si>
  <si>
    <t>10091570</t>
  </si>
  <si>
    <t>CM0965-10091570</t>
  </si>
  <si>
    <t>14328E231007</t>
  </si>
  <si>
    <t>10091571</t>
  </si>
  <si>
    <t>CM0965-10091571</t>
  </si>
  <si>
    <t>14323E250907</t>
  </si>
  <si>
    <t>10091597</t>
  </si>
  <si>
    <t>CM0965-10091597</t>
  </si>
  <si>
    <t>14323E250908</t>
  </si>
  <si>
    <t>10091598</t>
  </si>
  <si>
    <t>CM0965-10091598</t>
  </si>
  <si>
    <t>14319E285605</t>
  </si>
  <si>
    <t>10091647</t>
  </si>
  <si>
    <t>CM0958-10091647</t>
  </si>
  <si>
    <t>14319E285608</t>
  </si>
  <si>
    <t>10091650</t>
  </si>
  <si>
    <t>CM0958-10091650</t>
  </si>
  <si>
    <t>14319E285609</t>
  </si>
  <si>
    <t>10091651</t>
  </si>
  <si>
    <t>CM0958-10091651</t>
  </si>
  <si>
    <t>BOH-COPE-M</t>
  </si>
  <si>
    <t>10027884</t>
  </si>
  <si>
    <t>CM0970-10027884</t>
  </si>
  <si>
    <t>14261B040906</t>
  </si>
  <si>
    <t>10030194</t>
  </si>
  <si>
    <t>CM0501-10030194</t>
  </si>
  <si>
    <t>190403007902</t>
  </si>
  <si>
    <t>10032469</t>
  </si>
  <si>
    <t>CM0969-10032469</t>
  </si>
  <si>
    <t>190411001002</t>
  </si>
  <si>
    <t>10032493</t>
  </si>
  <si>
    <t>CM0940-10032493</t>
  </si>
  <si>
    <t>75066372000040</t>
  </si>
  <si>
    <t>10037258</t>
  </si>
  <si>
    <t>CM0903-10037258</t>
  </si>
  <si>
    <t>7506384602814</t>
  </si>
  <si>
    <t>10037618</t>
  </si>
  <si>
    <t>CM0613-10037618</t>
  </si>
  <si>
    <t>160298191604</t>
  </si>
  <si>
    <t>10039713</t>
  </si>
  <si>
    <t>CM0623-10039713</t>
  </si>
  <si>
    <t>CM0958-10039733</t>
  </si>
  <si>
    <t>CM0969-10039733</t>
  </si>
  <si>
    <t>160300182410</t>
  </si>
  <si>
    <t>10039736</t>
  </si>
  <si>
    <t>CM0965-10039736</t>
  </si>
  <si>
    <t>160298191402</t>
  </si>
  <si>
    <t>10039909</t>
  </si>
  <si>
    <t>CM0623-10039909</t>
  </si>
  <si>
    <t>160298191404</t>
  </si>
  <si>
    <t>10039911</t>
  </si>
  <si>
    <t>CM0623-10039911</t>
  </si>
  <si>
    <t>160760022410</t>
  </si>
  <si>
    <t>10039999</t>
  </si>
  <si>
    <t>CM0623-10039999</t>
  </si>
  <si>
    <t>160600086810</t>
  </si>
  <si>
    <t>10040462</t>
  </si>
  <si>
    <t>CM0953-10040462</t>
  </si>
  <si>
    <t>160610162410</t>
  </si>
  <si>
    <t>10040471</t>
  </si>
  <si>
    <t>CM0971-10040471</t>
  </si>
  <si>
    <t>CM0518-10042149</t>
  </si>
  <si>
    <t>Z24450055915005</t>
  </si>
  <si>
    <t>10042157</t>
  </si>
  <si>
    <t>CM0518-10042157</t>
  </si>
  <si>
    <t>Z24450055889003</t>
  </si>
  <si>
    <t>10042206</t>
  </si>
  <si>
    <t>CM0518-10042206</t>
  </si>
  <si>
    <t>14011E420906</t>
  </si>
  <si>
    <t>10091811</t>
  </si>
  <si>
    <t>CM0969-10091811</t>
  </si>
  <si>
    <t>14011E420905</t>
  </si>
  <si>
    <t>10091853</t>
  </si>
  <si>
    <t>CM0969-10091853</t>
  </si>
  <si>
    <t>7501011121980</t>
  </si>
  <si>
    <t>10092768</t>
  </si>
  <si>
    <t>CM0971-10092768</t>
  </si>
  <si>
    <t>750069040084</t>
  </si>
  <si>
    <t>10098321</t>
  </si>
  <si>
    <t>CM0939-10098321</t>
  </si>
  <si>
    <t>750069040130TL</t>
  </si>
  <si>
    <t>10098347</t>
  </si>
  <si>
    <t>CM0939-10098347</t>
  </si>
  <si>
    <t>750069090194S</t>
  </si>
  <si>
    <t>10098395</t>
  </si>
  <si>
    <t>CM0939-10098395</t>
  </si>
  <si>
    <t>CM0623-10100094</t>
  </si>
  <si>
    <t>14030E460917</t>
  </si>
  <si>
    <t>10101772</t>
  </si>
  <si>
    <t>CM0623-10101772</t>
  </si>
  <si>
    <t>160220380100</t>
  </si>
  <si>
    <t>10043267</t>
  </si>
  <si>
    <t>CM0965-10043267</t>
  </si>
  <si>
    <t>CM0623-10045964</t>
  </si>
  <si>
    <t>160020330152</t>
  </si>
  <si>
    <t>10048275</t>
  </si>
  <si>
    <t>CM0969-10048275</t>
  </si>
  <si>
    <t>160020360152</t>
  </si>
  <si>
    <t>10048287</t>
  </si>
  <si>
    <t>CM0969-10048287</t>
  </si>
  <si>
    <t>160020060151</t>
  </si>
  <si>
    <t>10048396</t>
  </si>
  <si>
    <t>CM0969-10048396</t>
  </si>
  <si>
    <t>04692013</t>
  </si>
  <si>
    <t>10048954</t>
  </si>
  <si>
    <t>CM0973-10048954</t>
  </si>
  <si>
    <t>160380082406</t>
  </si>
  <si>
    <t>10049086</t>
  </si>
  <si>
    <t>CM0958-10049086</t>
  </si>
  <si>
    <t>04552168</t>
  </si>
  <si>
    <t>10049122</t>
  </si>
  <si>
    <t>CM0623-10049122</t>
  </si>
  <si>
    <t>160220394904</t>
  </si>
  <si>
    <t>10049406</t>
  </si>
  <si>
    <t>CM0953-10049406</t>
  </si>
  <si>
    <t>04428444</t>
  </si>
  <si>
    <t>10050266</t>
  </si>
  <si>
    <t>CM0927-10050266</t>
  </si>
  <si>
    <t>04180131</t>
  </si>
  <si>
    <t>10051072</t>
  </si>
  <si>
    <t>CM0971-10051072</t>
  </si>
  <si>
    <t>04180134</t>
  </si>
  <si>
    <t>10051075</t>
  </si>
  <si>
    <t>CM0971-10051075</t>
  </si>
  <si>
    <t>04219474</t>
  </si>
  <si>
    <t>10051088</t>
  </si>
  <si>
    <t>CM0910-10051088</t>
  </si>
  <si>
    <t>04180120</t>
  </si>
  <si>
    <t>10051102</t>
  </si>
  <si>
    <t>928</t>
  </si>
  <si>
    <t>0928</t>
  </si>
  <si>
    <t>CM0928-10051102</t>
  </si>
  <si>
    <t>SA02-010404</t>
  </si>
  <si>
    <t>10051404</t>
  </si>
  <si>
    <t>CM0902-10051404</t>
  </si>
  <si>
    <t>04223455</t>
  </si>
  <si>
    <t>10052456</t>
  </si>
  <si>
    <t>CM0623-10052456</t>
  </si>
  <si>
    <t>CM0917-10053015</t>
  </si>
  <si>
    <t>CM0917-10053177</t>
  </si>
  <si>
    <t>04694530</t>
  </si>
  <si>
    <t>10053314</t>
  </si>
  <si>
    <t>CM0518-10053314</t>
  </si>
  <si>
    <t>04692384</t>
  </si>
  <si>
    <t>10053545</t>
  </si>
  <si>
    <t>CM0927-10053545</t>
  </si>
  <si>
    <t>04101056</t>
  </si>
  <si>
    <t>10054200</t>
  </si>
  <si>
    <t>CM0927-10054200</t>
  </si>
  <si>
    <t>04096053</t>
  </si>
  <si>
    <t>10054734</t>
  </si>
  <si>
    <t>CM0951-10054734</t>
  </si>
  <si>
    <t>04095250</t>
  </si>
  <si>
    <t>10054832</t>
  </si>
  <si>
    <t>CM0927-10054832</t>
  </si>
  <si>
    <t>04047235</t>
  </si>
  <si>
    <t>10055132</t>
  </si>
  <si>
    <t>CM0971-10055132</t>
  </si>
  <si>
    <t>04047263</t>
  </si>
  <si>
    <t>10055147</t>
  </si>
  <si>
    <t>CM0971-10055147</t>
  </si>
  <si>
    <t>04047166</t>
  </si>
  <si>
    <t>10055174</t>
  </si>
  <si>
    <t>CM0614-10055174</t>
  </si>
  <si>
    <t>04047041</t>
  </si>
  <si>
    <t>10055193</t>
  </si>
  <si>
    <t>CM0518-10055193</t>
  </si>
  <si>
    <t>CM0927-10055217</t>
  </si>
  <si>
    <t>04006097</t>
  </si>
  <si>
    <t>10055339</t>
  </si>
  <si>
    <t>CM0910-10055339</t>
  </si>
  <si>
    <t>7896015519223</t>
  </si>
  <si>
    <t>10055519</t>
  </si>
  <si>
    <t>CM0518-10055519</t>
  </si>
  <si>
    <t>7791293032450</t>
  </si>
  <si>
    <t>10055529</t>
  </si>
  <si>
    <t>CM0504-10055529</t>
  </si>
  <si>
    <t>7509552905700</t>
  </si>
  <si>
    <t>10055651</t>
  </si>
  <si>
    <t>CM0945-10055651</t>
  </si>
  <si>
    <t>752214982514</t>
  </si>
  <si>
    <t>10055669</t>
  </si>
  <si>
    <t>CM0945-10055669</t>
  </si>
  <si>
    <t>7509546000350</t>
  </si>
  <si>
    <t>10055778</t>
  </si>
  <si>
    <t>CM0518-10055778</t>
  </si>
  <si>
    <t>7502282730154</t>
  </si>
  <si>
    <t>10056027</t>
  </si>
  <si>
    <t>CM0945-10056027</t>
  </si>
  <si>
    <t>7501943493940</t>
  </si>
  <si>
    <t>10056315</t>
  </si>
  <si>
    <t>CM0504-10056315</t>
  </si>
  <si>
    <t>7501080954199</t>
  </si>
  <si>
    <t>10056445</t>
  </si>
  <si>
    <t>CM0504-10056445</t>
  </si>
  <si>
    <t>7501027254436</t>
  </si>
  <si>
    <t>10056693</t>
  </si>
  <si>
    <t>CM0945-10056693</t>
  </si>
  <si>
    <t>7501019006609</t>
  </si>
  <si>
    <t>10056748</t>
  </si>
  <si>
    <t>CM0504-10056748</t>
  </si>
  <si>
    <t>7500462477240</t>
  </si>
  <si>
    <t>10056862</t>
  </si>
  <si>
    <t>CM0504-10056862</t>
  </si>
  <si>
    <t>070330722620</t>
  </si>
  <si>
    <t>10057334</t>
  </si>
  <si>
    <t>CM0518-10057334</t>
  </si>
  <si>
    <t>070501051054</t>
  </si>
  <si>
    <t>10057339</t>
  </si>
  <si>
    <t>CM0504-10057339</t>
  </si>
  <si>
    <t>7501011135048</t>
  </si>
  <si>
    <t>10058553</t>
  </si>
  <si>
    <t>CM0966-10058553</t>
  </si>
  <si>
    <t>7622210530387</t>
  </si>
  <si>
    <t>10059806</t>
  </si>
  <si>
    <t>CM0507-10059806</t>
  </si>
  <si>
    <t>7502240644332</t>
  </si>
  <si>
    <t>10060245</t>
  </si>
  <si>
    <t>CM0623-10060245</t>
  </si>
  <si>
    <t>7501011143265</t>
  </si>
  <si>
    <t>10060527</t>
  </si>
  <si>
    <t>CM0850-10060527</t>
  </si>
  <si>
    <t>CM0958-10060764</t>
  </si>
  <si>
    <t>7891109749173</t>
  </si>
  <si>
    <t>10061146</t>
  </si>
  <si>
    <t>CM0965-10061146</t>
  </si>
  <si>
    <t>739944007140</t>
  </si>
  <si>
    <t>10065059</t>
  </si>
  <si>
    <t>CM0617-10065059</t>
  </si>
  <si>
    <t>CM0965-10065077</t>
  </si>
  <si>
    <t>7890557722226</t>
  </si>
  <si>
    <t>10065095</t>
  </si>
  <si>
    <t>CM0965-10065095</t>
  </si>
  <si>
    <t>04545858</t>
  </si>
  <si>
    <t>10066861</t>
  </si>
  <si>
    <t>CM0623-10066861</t>
  </si>
  <si>
    <t>220610210104</t>
  </si>
  <si>
    <t>10070979</t>
  </si>
  <si>
    <t>CM0973-10070979</t>
  </si>
  <si>
    <t>220610210112</t>
  </si>
  <si>
    <t>10070983</t>
  </si>
  <si>
    <t>CM0973-10070983</t>
  </si>
  <si>
    <t>785120753530</t>
  </si>
  <si>
    <t>10073598</t>
  </si>
  <si>
    <t>CM0507-10073598</t>
  </si>
  <si>
    <t>7501054542896</t>
  </si>
  <si>
    <t>10074603</t>
  </si>
  <si>
    <t>CM0504-10074603</t>
  </si>
  <si>
    <t>7501023104025</t>
  </si>
  <si>
    <t>10074698</t>
  </si>
  <si>
    <t>CM0224-10074698</t>
  </si>
  <si>
    <t>14698D150917</t>
  </si>
  <si>
    <t>10074919</t>
  </si>
  <si>
    <t>CM0958-10074919</t>
  </si>
  <si>
    <t>14134D363517</t>
  </si>
  <si>
    <t>10075029</t>
  </si>
  <si>
    <t>CM0956-10075029</t>
  </si>
  <si>
    <t>140532503517</t>
  </si>
  <si>
    <t>10075120</t>
  </si>
  <si>
    <t>CM0958-10075120</t>
  </si>
  <si>
    <t>305210231597</t>
  </si>
  <si>
    <t>10076011</t>
  </si>
  <si>
    <t>CM0504-10076011</t>
  </si>
  <si>
    <t>4005900686510</t>
  </si>
  <si>
    <t>10076017</t>
  </si>
  <si>
    <t>CM0504-10076017</t>
  </si>
  <si>
    <t>050601130</t>
  </si>
  <si>
    <t>10079284</t>
  </si>
  <si>
    <t>CM0965-10079284</t>
  </si>
  <si>
    <t>050601176</t>
  </si>
  <si>
    <t>10079296</t>
  </si>
  <si>
    <t>CM0965-10079296</t>
  </si>
  <si>
    <t>187001105672</t>
  </si>
  <si>
    <t>10079663</t>
  </si>
  <si>
    <t>CM0927-10079663</t>
  </si>
  <si>
    <t>04392910</t>
  </si>
  <si>
    <t>10079803</t>
  </si>
  <si>
    <t>CM0917-10079803</t>
  </si>
  <si>
    <t>160020360153</t>
  </si>
  <si>
    <t>10080545</t>
  </si>
  <si>
    <t>CM0969-10080545</t>
  </si>
  <si>
    <t>051054235382</t>
  </si>
  <si>
    <t>10082492</t>
  </si>
  <si>
    <t>CM0953-10082492</t>
  </si>
  <si>
    <t>050301191</t>
  </si>
  <si>
    <t>10082571</t>
  </si>
  <si>
    <t>CM0969-10082571</t>
  </si>
  <si>
    <t>050301499</t>
  </si>
  <si>
    <t>10082588</t>
  </si>
  <si>
    <t>CM0956-10082588</t>
  </si>
  <si>
    <t>030673148181</t>
  </si>
  <si>
    <t>10082977</t>
  </si>
  <si>
    <t>CM0953-10082977</t>
  </si>
  <si>
    <t>030673876688</t>
  </si>
  <si>
    <t>10083062</t>
  </si>
  <si>
    <t>CM0953-10083062</t>
  </si>
  <si>
    <t>04219137</t>
  </si>
  <si>
    <t>10083093</t>
  </si>
  <si>
    <t>CM0910-10083093</t>
  </si>
  <si>
    <t>030673148174</t>
  </si>
  <si>
    <t>10083127</t>
  </si>
  <si>
    <t>CM0953-10083127</t>
  </si>
  <si>
    <t>7500478019007</t>
  </si>
  <si>
    <t>10083317</t>
  </si>
  <si>
    <t>CM0964-10083317</t>
  </si>
  <si>
    <t>22039015</t>
  </si>
  <si>
    <t>10084024</t>
  </si>
  <si>
    <t>CM0971-10084024</t>
  </si>
  <si>
    <t>160610241000</t>
  </si>
  <si>
    <t>10085042</t>
  </si>
  <si>
    <t>CM0971-10085042</t>
  </si>
  <si>
    <t>160500099405</t>
  </si>
  <si>
    <t>10085406</t>
  </si>
  <si>
    <t>CM0971-10085406</t>
  </si>
  <si>
    <t>160381561006</t>
  </si>
  <si>
    <t>10085524</t>
  </si>
  <si>
    <t>CM0953-10085524</t>
  </si>
  <si>
    <t>160251190102</t>
  </si>
  <si>
    <t>10085822</t>
  </si>
  <si>
    <t>CM0953-10085822</t>
  </si>
  <si>
    <t>Z24210045901004</t>
  </si>
  <si>
    <t>10086167</t>
  </si>
  <si>
    <t>CM0939-10086167</t>
  </si>
  <si>
    <t>AKSA-P00378</t>
  </si>
  <si>
    <t>10087409</t>
  </si>
  <si>
    <t>CM0940-10087409</t>
  </si>
  <si>
    <t>AKSA-P01660</t>
  </si>
  <si>
    <t>10087414</t>
  </si>
  <si>
    <t>CM0940-10087414</t>
  </si>
  <si>
    <t>AKSA-P01692</t>
  </si>
  <si>
    <t>10087415</t>
  </si>
  <si>
    <t>CM0940-10087415</t>
  </si>
  <si>
    <t>A21SPR23007</t>
  </si>
  <si>
    <t>10087606</t>
  </si>
  <si>
    <t>CM0940-10087606</t>
  </si>
  <si>
    <t>7909806492015</t>
  </si>
  <si>
    <t>10088114</t>
  </si>
  <si>
    <t>CM0914-10088114</t>
  </si>
  <si>
    <t>7909806492039</t>
  </si>
  <si>
    <t>10088115</t>
  </si>
  <si>
    <t>CM0914-10088115</t>
  </si>
  <si>
    <t>7506609908561</t>
  </si>
  <si>
    <t>10088615</t>
  </si>
  <si>
    <t>CM0953-10088615</t>
  </si>
  <si>
    <t>7506609908332</t>
  </si>
  <si>
    <t>10088631</t>
  </si>
  <si>
    <t>CM0953-10088631</t>
  </si>
  <si>
    <t>7506609908387</t>
  </si>
  <si>
    <t>10088636</t>
  </si>
  <si>
    <t>CM0953-10088636</t>
  </si>
  <si>
    <t>7506609905966</t>
  </si>
  <si>
    <t>10088658</t>
  </si>
  <si>
    <t>CM0953-10088658</t>
  </si>
  <si>
    <t>7506609908264</t>
  </si>
  <si>
    <t>10088666</t>
  </si>
  <si>
    <t>CM0953-10088666</t>
  </si>
  <si>
    <t>7506392900254</t>
  </si>
  <si>
    <t>10089229</t>
  </si>
  <si>
    <t>CM0953-10089229</t>
  </si>
  <si>
    <t>7506392900292</t>
  </si>
  <si>
    <t>10089233</t>
  </si>
  <si>
    <t>CM0953-10089233</t>
  </si>
  <si>
    <t>Z25141034L02014</t>
  </si>
  <si>
    <t>10090093</t>
  </si>
  <si>
    <t>CM0910-10090093</t>
  </si>
  <si>
    <t>7895653240346</t>
  </si>
  <si>
    <t>10090739</t>
  </si>
  <si>
    <t>CM0953-10090739</t>
  </si>
  <si>
    <t>CM0953-10090741</t>
  </si>
  <si>
    <t>CM0953-10090743</t>
  </si>
  <si>
    <t>CM0953-10090745</t>
  </si>
  <si>
    <t>CM0955-10090749</t>
  </si>
  <si>
    <t>CM0955-10090754</t>
  </si>
  <si>
    <t>7501001502300</t>
  </si>
  <si>
    <t>10091076</t>
  </si>
  <si>
    <t>CM0518-10091076</t>
  </si>
  <si>
    <t>7501001501853</t>
  </si>
  <si>
    <t>10091120</t>
  </si>
  <si>
    <t>CM0518-10091120</t>
  </si>
  <si>
    <t>7500478043972</t>
  </si>
  <si>
    <t>10091170</t>
  </si>
  <si>
    <t>CM0966-10091170</t>
  </si>
  <si>
    <t>14328E231008</t>
  </si>
  <si>
    <t>10091493</t>
  </si>
  <si>
    <t>CM0965-10091493</t>
  </si>
  <si>
    <t>14328E214405</t>
  </si>
  <si>
    <t>10091554</t>
  </si>
  <si>
    <t>CM0965-10091554</t>
  </si>
  <si>
    <t>14328E214406</t>
  </si>
  <si>
    <t>10091555</t>
  </si>
  <si>
    <t>CM0965-10091555</t>
  </si>
  <si>
    <t>14319E285607</t>
  </si>
  <si>
    <t>10091649</t>
  </si>
  <si>
    <t>CM0958-10091649</t>
  </si>
  <si>
    <t>CM0973-10092768</t>
  </si>
  <si>
    <t>750069010700</t>
  </si>
  <si>
    <t>10098191</t>
  </si>
  <si>
    <t>CM0939-10098191</t>
  </si>
  <si>
    <t>750069040022</t>
  </si>
  <si>
    <t>10098302</t>
  </si>
  <si>
    <t>CM0939-10098302</t>
  </si>
  <si>
    <t>750069040051</t>
  </si>
  <si>
    <t>10098310</t>
  </si>
  <si>
    <t>CM0939-10098310</t>
  </si>
  <si>
    <t>750069040055</t>
  </si>
  <si>
    <t>10098311</t>
  </si>
  <si>
    <t>CM0939-10098311</t>
  </si>
  <si>
    <t>750069090166M</t>
  </si>
  <si>
    <t>10098384</t>
  </si>
  <si>
    <t>CM0939-10098384</t>
  </si>
  <si>
    <t>750069090195XL</t>
  </si>
  <si>
    <t>10098397</t>
  </si>
  <si>
    <t>CM0939-10098397</t>
  </si>
  <si>
    <t>Z25240032926000</t>
  </si>
  <si>
    <t>10100092</t>
  </si>
  <si>
    <t>CM0623-10100092</t>
  </si>
  <si>
    <t>030673151433</t>
  </si>
  <si>
    <t>10101849</t>
  </si>
  <si>
    <t>CM0953-10101849</t>
  </si>
  <si>
    <t>030673151457</t>
  </si>
  <si>
    <t>10101850</t>
  </si>
  <si>
    <t>CM0953-10101850</t>
  </si>
  <si>
    <t>PVP</t>
  </si>
  <si>
    <t xml:space="preserve">Descripcion </t>
  </si>
  <si>
    <t>Departamento</t>
  </si>
  <si>
    <t>Tasa Efectiva</t>
  </si>
  <si>
    <t>ZULTANITA SINTETICO 0503085</t>
  </si>
  <si>
    <t>ACCESORIOS</t>
  </si>
  <si>
    <t>PLAYERA ADULTO ESTAMPADA LINEA 2023 FOIL PALMERAS NEGRO LARGE</t>
  </si>
  <si>
    <t>PRODUCCION</t>
  </si>
  <si>
    <t>PLAYERA ADULTO ESTAMPADA LINEA 2023 FOIL PALMERAS NEGRO EXTRA LARGE</t>
  </si>
  <si>
    <t>PLAYERA ADULTO ESTAMPADA LINEA 2023 FOIL COLIBRI ARENA LARGE</t>
  </si>
  <si>
    <t>PLAYERA ADULTO ESTAMPADA LINEA 2023 FOIL COLIBRI ARENA EXTRA LARGE</t>
  </si>
  <si>
    <t>PLAYERA ADULTO ESTAMPADA LINEA 2023 FOIL PALMERAS ARENA MEDIUM</t>
  </si>
  <si>
    <t>PLAYERA ADULTO ESTAMPADA LINEA 2023 FOIL PALMERAS ARENA 2X LARGE</t>
  </si>
  <si>
    <t>PLAYERA ADULTO ESTAMPADA LINEA 2023 FOIL PALMERAS AZUL CLARO 2X LARGE</t>
  </si>
  <si>
    <t>PLAYERA ADULTO ESTAMPADA LINEA 2023 FOIL PLAZA BLANCO MEDIUM</t>
  </si>
  <si>
    <t>PLAYERA ADULTO ESTAMPADA LINEA 2023 FOIL PLAZA BLANCO LARGE</t>
  </si>
  <si>
    <t>ARETE PLATA CON PIEDRA M STUD .925 M  2.5 GR</t>
  </si>
  <si>
    <t>ARETE PLATA CON PIEDRA S. STUD.925 M  1.5 GR</t>
  </si>
  <si>
    <t>ARETE PLATA L STUD .925 M  1 GR</t>
  </si>
  <si>
    <t>Isela Robles Medalla Mini Virgen Gpe 12 Mm, Cadena 45 Cms Plata 0.925 Baño De Oro 14K</t>
  </si>
  <si>
    <t>Isela Robles Medalla Mini Virgen Gpe 12 Mm, Cuentas Naturales Varias A 45 Cms Plata 0.925</t>
  </si>
  <si>
    <t>Isela Robles Medalla Virgen Gpe 2.5 Cms Cadena 45 Cms Plata 0.925</t>
  </si>
  <si>
    <t>PLAYERA ADULTO ESTAMPADA LINEA 2023 FOIL PALMERAS NEGRO SMALL</t>
  </si>
  <si>
    <t>PLAYERA ADULTO ESTAMPADA LINEA 2023 FOIL PALMERAS NEGRO 2X LARGE</t>
  </si>
  <si>
    <t>PLAYERA ADULTO ESTAMPADA LINEA 2023 FOIL COLIBRI ARENA SMALL</t>
  </si>
  <si>
    <t>PLAYERA ADULTO ESTAMPADA LINEA 2023 FOIL PALMERAS AZUL CLARO MEDIUM</t>
  </si>
  <si>
    <t>PLAYERA ADULTO ESTAMPADA LINEA 2023 FOIL PALMERAS ARENA SMALL</t>
  </si>
  <si>
    <t>PLAYERA ADULTO ESTAMPADA LINEA 2023 FOIL PLAZA BLANCO SMALL</t>
  </si>
  <si>
    <t>Isela Robles Medalla Mini Virgen Gpe 12 Mm, Cadena 45 Cms Plata 0.925</t>
  </si>
  <si>
    <t>Isela Robles Medalla Virgen Gpe 2.5 Cms Cuentas Naturales A 45 Cms Plata 0.925</t>
  </si>
  <si>
    <t>PLAYERA ADULTO ESTAMPADA LINEA 2023 FOIL COLIBRI ARENA 2X LARGE</t>
  </si>
  <si>
    <t>PLAYERA ADULTO ESTAMPADA LINEA 2023 FOIL COLIBRI ARENA MEDIUM</t>
  </si>
  <si>
    <t>PLAYERA ADULTO ESTAMPADA LINEA 2023 FOIL PALMERAS ARENA LARGE</t>
  </si>
  <si>
    <t>PLAYERA ADULTO ESTAMPADA LINEA 2023 FOIL PALMERAS AZUL CLARO SMALL</t>
  </si>
  <si>
    <t>PLAYERA ADULTO ESTAMPADA PROMOCION PAISAJE BICOLOR GRIS JASPE SMALL</t>
  </si>
  <si>
    <t>Isela Robles Medalla Virgen Gpe 2.5 Cms Cuentas Naturales Varias A 45 Cms Plata 0.925</t>
  </si>
  <si>
    <t>Isela Robles Anillo Tubo Celosia Mayab Plata 0.925</t>
  </si>
  <si>
    <t>Isela Robles Dije Mayab Celosia Con Cadena , 5 Gotas Plata 0.925</t>
  </si>
  <si>
    <t>Isela Robles Anillo Cúpulas Plata 0.925, Baño De Oro 14 K</t>
  </si>
  <si>
    <t>Isela Robles Aretes Cúpulas Media Esfera Con Poste Plata 0.925, Baño De Oro 14 K</t>
  </si>
  <si>
    <t>Isela Robles Aretes Dalia 1.3 Mm , Gancho, Una Cuenta 6 Mm Plata 0.925</t>
  </si>
  <si>
    <t>Isela Robles Dije Dalia 4 Cms, Cuentas Naturales Varias 2.5 Mm Plata 0.925</t>
  </si>
  <si>
    <t>Isela Robles Mini Dije Dalia Con Cuentas Naturales Plata 0.925/Baño De Oro 14 K</t>
  </si>
  <si>
    <t>GARGANTILLA FLORA MARIA SOL CH PLATA .925</t>
  </si>
  <si>
    <t>ARETE MANDIR HELIODOR ERKG192003 PLATA .925</t>
  </si>
  <si>
    <t>Isela Robles Medalla Mini Virgen Gpe12 Mm, Cuentas Naturales A 45 Cms Plata 0.925</t>
  </si>
  <si>
    <t>Isela Robles Medalla Virgen Gpe 2.5 Cms Cadena 45 Cms Plata 0.925 Baño De Oro 14K</t>
  </si>
  <si>
    <t>Isela Robles Anillo Redondo Mayab Plata 0.925, Turquesa</t>
  </si>
  <si>
    <t>Isela Robles Arracadas Mayab Celosía Con 5 Gotas Plata 0.925</t>
  </si>
  <si>
    <t>Isela Robles Pulsera Mayab Ondas Plata 0.925</t>
  </si>
  <si>
    <t>Isela Robles Anillo Cúpula Con Círculos, Base Satinada Plata 0.925</t>
  </si>
  <si>
    <t>Isela Robles Dije Chico Cúpulas Esfera Chica 16 Mm Diámetro Con Cadena Integrada Plata 0.925</t>
  </si>
  <si>
    <t>Isela Robles Anillo Dalia Boho Chic De Acrílico Baño Oro 14K Marfil</t>
  </si>
  <si>
    <t>Isela Robles Dije Dalia Boho Chic De Acrílico Metal Marfil</t>
  </si>
  <si>
    <t>Isela Robles Aretes Gancho Mini Dalias 1.3 Plata 0.925</t>
  </si>
  <si>
    <t>Isela Robles Aretes Gota Boho Chic De Acrílico Baño Oro 14K Negro</t>
  </si>
  <si>
    <t>COLLAR FLORA MARIA NOCHE ESTRELLADA PLATA .925</t>
  </si>
  <si>
    <t>COLLAR FLORA MARIA DIA DE VERANO EN LA SELVA PLATA .925</t>
  </si>
  <si>
    <t>COLLAR FLORA MARIA UNA TARDE ENTRE FLORES PLATA .925</t>
  </si>
  <si>
    <t>COLLAR FLORA MARIA AMOR ENTRE NOTAS PLATA .925</t>
  </si>
  <si>
    <t>COLLAR MANDIR HELIODOR P579 PLATA .925</t>
  </si>
  <si>
    <t>PULSERA MANDIR HELIODOR BRAKG1901 PLATA .925</t>
  </si>
  <si>
    <t>Isela Robles Mini Arracadas Mayab 5 Gotitas Plata 0.925</t>
  </si>
  <si>
    <t>Isela Robles Aretes Dalia Boho Chic De Acrílico Baño Oro 14K Marfil</t>
  </si>
  <si>
    <t>Isela Robles Aretes Abanico Boho Chic De Acrílico Baño Oro 14K Marfil</t>
  </si>
  <si>
    <t>DIJE PLATA .925 EMERALD PENDANT.925 2.91 GR</t>
  </si>
  <si>
    <t>COLLAR FLORA MARIA VUELO ENTRE HOJAS PLATA .925</t>
  </si>
  <si>
    <t>PLAYERA NIÑO ESTAMPADA BOQUITAS TORTUGA COCO  1</t>
  </si>
  <si>
    <t>Descontinuado Vestido Dama Corto New Shabut Yoa Unitalla</t>
  </si>
  <si>
    <t>MODA ROPA</t>
  </si>
  <si>
    <t>SHORT DAMA NC5050 IGM MESH POLIÉSTER NEGRO</t>
  </si>
  <si>
    <t>SALIDA DE PLAYA MOD 4205 DAMBA BLANCO XL</t>
  </si>
  <si>
    <t>SALIDA DE PLAYA MOD 4205 DAMBA VERDE XL</t>
  </si>
  <si>
    <t>Vestido Dama Corto Anna Yoa Unitalla</t>
  </si>
  <si>
    <t>Playera UV Caballero Motor oil Gris Oscuro 2 Extra Large</t>
  </si>
  <si>
    <t>Playera UV Caballero Motor oil Blanco Large</t>
  </si>
  <si>
    <t>Playera UV Caballero Motor oil Blanco Extra Large</t>
  </si>
  <si>
    <t>Playera UV Caballero Motor oil Celeste Extra Large</t>
  </si>
  <si>
    <t>Playera UV Caballero Motor oil Gris claro Medium</t>
  </si>
  <si>
    <t>Motor Oil Short Clasico Henry Caballero Velero 2 Extra Large</t>
  </si>
  <si>
    <t>Eliar Short dama con técnica talla 13</t>
  </si>
  <si>
    <t>PAREO KIKI  002L LISO IGM MULTICOLOR UNITALLA</t>
  </si>
  <si>
    <t>SALIDA DE PLAYA MOD 4205 DAMBA BLANCO L</t>
  </si>
  <si>
    <t>SALIDA DE PLAYA MOD 4205 DAMBA VERDE M</t>
  </si>
  <si>
    <t>BAJA  Top Dama Crochet Yoa 1 Unicolor Unitalla</t>
  </si>
  <si>
    <t>Playera UV Caballero Motor oil Gris Oscuro Medium</t>
  </si>
  <si>
    <t>Playera UV Caballero Motor oil Azul 2 Extra Large</t>
  </si>
  <si>
    <t>TEQUILERO REPUJADO SHOWME</t>
  </si>
  <si>
    <t>ARTESANIAS</t>
  </si>
  <si>
    <t>Playera UV Caballero Motor oil Gris Oscuro Large</t>
  </si>
  <si>
    <t>Playera UV Caballero Motor oil Blanco 2 Extra Large</t>
  </si>
  <si>
    <t>LLAVERO MULTIDIJES PLUS BTS</t>
  </si>
  <si>
    <t>TEQUILERO VIDRIO 2OZ AZULEJOS VALLARTA MEADOWLANDS</t>
  </si>
  <si>
    <t>TEQUILERO VIDRIO 2OZ TRITON SIRENA VALLARTA MEADOWLANDS</t>
  </si>
  <si>
    <t>PLAYERA NIÑO NEON BURRITO PIÑATA  NEGRO 2 4 AÑOS</t>
  </si>
  <si>
    <t>PLAYERA NIÑO NEON BURRITO PIÑATA  NEGRO 10 12 AÑOS</t>
  </si>
  <si>
    <t>CAMISA FLORES YOA MULTICOLOR LARGE</t>
  </si>
  <si>
    <t>TEQUILERO PAQUETE 5 PIEZAS SM 2 OZ SHOWME</t>
  </si>
  <si>
    <t>TEQUILERO VIDRIO 2OZ VISTA PARROQUIA VALLARTA MEADOWLANDS</t>
  </si>
  <si>
    <t>TEQUILERO VIDRIO 2OZ CIUDAD ATARDECER VALLARTA MEADOWLANDS</t>
  </si>
  <si>
    <t>PLAYERA NIÑO NEON MUÑECA GUIÑO NEGRO 2 4 AÑOS</t>
  </si>
  <si>
    <t>PLAYERA NIÑO NEON MUÑECA GUIÑO NEGRO 14 16 AÑOS</t>
  </si>
  <si>
    <t>PLAYERA NIÑO NEON CHIHUAHUA  NEGRO 14 16 AÑOS</t>
  </si>
  <si>
    <t>PLUMA DECORADA PINTADO FLORES KUROMI ARTDJ</t>
  </si>
  <si>
    <t>CAMISA FLORES YOA MULTICOLOR EXTRA LARGE</t>
  </si>
  <si>
    <t>PLUMA DECORADA PINTADO FLORES BUHO ARTDJ</t>
  </si>
  <si>
    <t>TEQUILERO VIDRIO 2OZ MALECON LETRAS VALLARTA MEADOWLANDS</t>
  </si>
  <si>
    <t>Tequilero Placa Metal figura</t>
  </si>
  <si>
    <t>PLAYERA NIÑO NEON BURRITO PIÑATA  NEGRO 14 16 AÑOS</t>
  </si>
  <si>
    <t>PLAYERA NIÑO NEON CHIHUAHUA  NEGRO 6 8 AÑOS</t>
  </si>
  <si>
    <t>PLAYERA NIÑO NEON CHIHUAHUA  NEGRO 10 12 AÑOS</t>
  </si>
  <si>
    <t>(Descontinuado) TAZA CERAMICA FLATTY MULTIDESTINO CALAVERA FLOR FONDO ROJO PM</t>
  </si>
  <si>
    <t>SUDADERA SUDADERA CAPUCHA HOODIE CARIBBEAN SIDE GRIS EXTRA LARGE</t>
  </si>
  <si>
    <t>SUDADERA SUDADERA CAPUCHA HOODIE CARIBBEAN SIDE NEGRO LARGE</t>
  </si>
  <si>
    <t>FIGURA DECORATIVA CERAMICA GATO ECHADO PUNTOS PROMOTORA</t>
  </si>
  <si>
    <t>PISA PAPEL RESINA FIGURA CON PORTA NOTAS</t>
  </si>
  <si>
    <t>SUDADERA SUDADERA CAPUCHA HOODIE CARIBBEAN SIDE NEGRO MEDIUM</t>
  </si>
  <si>
    <t>PISA PAPEL ONIX FIGURAS VARIAS</t>
  </si>
  <si>
    <t>Monedero Piel carnaza  Imagen al frente mediano</t>
  </si>
  <si>
    <t>MANTEQUILLERO TALAVERA PUEBLA CON TAPA</t>
  </si>
  <si>
    <t>Juego de mesa Onix  Ajedrez Mediano</t>
  </si>
  <si>
    <t>FIGURA DECORATIVA MADERA PINTADO CORAZON CON ALAS PEQUEÑO ART CORAZON</t>
  </si>
  <si>
    <t>TEQUILERO CERAMICA HISTORIA 9 CM PROMOTORA</t>
  </si>
  <si>
    <t>FIGURA DECORATIVA ONIX PAREJA PEQUEÑA AYB</t>
  </si>
  <si>
    <t>SUDADERA SUDADERA CAPUCHA HOODIE CARIBBEAN SIDE NEGRO SMALL</t>
  </si>
  <si>
    <t>SUDADERA SUDADERA CAPUCHA HOODIE CARIBBEAN SIDE GRIS MEDIUM</t>
  </si>
  <si>
    <t>(Descontinuado) Magneto Acrilico Iman Aqua Selva</t>
  </si>
  <si>
    <t>MAGNETO METAL FIGURAS VARIAS HOLOGRAMA</t>
  </si>
  <si>
    <t>MAGNETO MADERA  MIRADOR MINI  By The Sea</t>
  </si>
  <si>
    <t>MAGNETO BARRO VARIOS MODELOS BONIFACIO</t>
  </si>
  <si>
    <t>Pastillero Barro  Corazon mini</t>
  </si>
  <si>
    <t>Monedero Tela Bordado Castor Mediano Giron</t>
  </si>
  <si>
    <t>SET DE COLLAR Y ARETES LARGO NUEVO MTV</t>
  </si>
  <si>
    <t>FIGURA DECORATIVA ONIX PAREJA MEDIANA AYB</t>
  </si>
  <si>
    <t>TEQUILERO CERAMICA BOTA HISTORIA 8 CM PROMOTORA</t>
  </si>
  <si>
    <t>Frutero Barro Historia 18 cm</t>
  </si>
  <si>
    <t>FIGURA BARRO VARIOS PEQUEÑA</t>
  </si>
  <si>
    <t>Plato Talavera Puebla imperial pequeño</t>
  </si>
  <si>
    <t>CRANEO CERAMICA FLOR CALADA PUNTOS PROMOTORA</t>
  </si>
  <si>
    <t>CENICERO CERAMICA SOMBRERO HISTORIA PROMOTORA</t>
  </si>
  <si>
    <t>ESFERA BARRO PIÑATA ESTRELLA LISA EDJ</t>
  </si>
  <si>
    <t>Bolsa Piel Carnaza Empanada Grande Economica</t>
  </si>
  <si>
    <t>Florero Barro  Pintado varios</t>
  </si>
  <si>
    <t>TAZA CERAMICA JARRITO HISTORIA PROMOTORA</t>
  </si>
  <si>
    <t>Taza Barro  Lele Incrustada Artdj</t>
  </si>
  <si>
    <t>FIGURA BARRO RANA LOCA</t>
  </si>
  <si>
    <t>ESFERA BARRO PIÑATA CLASICA</t>
  </si>
  <si>
    <t>Cenicero Onix Purera cuadrada AYB</t>
  </si>
  <si>
    <t>CENICERO CERAMICA PLANO HISTORIA PROMOTORA</t>
  </si>
  <si>
    <t>ALHAJERO CERAMICA CORAZON HISTORIA PROMOTORA</t>
  </si>
  <si>
    <t>ALHAJERO CERAMICA TORTUGA HISTORIA PROMOTORA</t>
  </si>
  <si>
    <t>BOLSA TELA TERCIOPELO MEDIANA DOS CIERRE</t>
  </si>
  <si>
    <t>ALCANCIA BARRO FRIDA GRANDE ARTDJ</t>
  </si>
  <si>
    <t>ALCANCIA BARRO MUÑECA FLORES ARTDJ</t>
  </si>
  <si>
    <t>REXONA BAMBOO WOMEN 50ML</t>
  </si>
  <si>
    <t>FARMACIA</t>
  </si>
  <si>
    <t>Condones Prudence Full Sensitive 3 Pza.</t>
  </si>
  <si>
    <t>PAÑALES ABSORSEC ULTRA 3 UNIDADES  KLEEN BEBE</t>
  </si>
  <si>
    <t>PANTY PRO SABA MULTIFORMA C 28</t>
  </si>
  <si>
    <t>SHAMPOO  HEAD SHOULDERS SHAMPOO 180 ML</t>
  </si>
  <si>
    <t>DESODORAN STEFANO PLAY 60 GR</t>
  </si>
  <si>
    <t>Desodoran Lady Speed Stick Derma Perla  91g 150ml</t>
  </si>
  <si>
    <t>Peine Cola De Ratón Top Fashion</t>
  </si>
  <si>
    <t>REPELENTE BYE BITES AEROSOL 30 DEET 170 GR</t>
  </si>
  <si>
    <t>PAÑALES D KLEEN BEBE PAÑAL DESECHABLE  TAMAÑO JUMBO CON 3 PIEZAS</t>
  </si>
  <si>
    <t>SHAMPOO HEAD   SHOULDE CONTROL CASPA 2 EN 1 180 ML SUAVE Y MANEJABLE</t>
  </si>
  <si>
    <t>Labello ROSA CAN Labello Rosa Can 48gr</t>
  </si>
  <si>
    <t>NIVEA MEN INVISIBLE BLACK Y WHITE POWER 50ML ROLL ON</t>
  </si>
  <si>
    <t>HUGGIES LITTLE SWIMMERS UNISEX</t>
  </si>
  <si>
    <t>SARAPE SEDALINA CAMINO DE MESA 2.40 METROS</t>
  </si>
  <si>
    <t>CHAROLA TALAVERA AZUL ENSALADERA OVAL PEQUEÑA</t>
  </si>
  <si>
    <t>CARTERA TELA SEDALINA CON CHAQUIRA</t>
  </si>
  <si>
    <t>Desodoran Dove Clear Tone 150 ML</t>
  </si>
  <si>
    <t>ALWAYS PINKCESS DIA 10TOALLAS</t>
  </si>
  <si>
    <t>SABA AMORE MODERADO SIN ALAS 8TOALLAS</t>
  </si>
  <si>
    <t>CHUPA CHUPS FRIKI FRUTS 12x9x2oz BAGS MX 57 GR</t>
  </si>
  <si>
    <t>ABARROTES</t>
  </si>
  <si>
    <t>SABRITAS ADOBADAS 45 GRS</t>
  </si>
  <si>
    <t>Skittles Gomitas Moras 50gr.</t>
  </si>
  <si>
    <t>CEMPOALA VAINILLA 500 ML</t>
  </si>
  <si>
    <t>CEMPOALA VAINILLA CLEAR 250 ML</t>
  </si>
  <si>
    <t>LIFESAVERS GUMMIES WILD BERRIES 56GR</t>
  </si>
  <si>
    <t>PAKETAXO MEZCLADITO 180G</t>
  </si>
  <si>
    <t>CHOKIS CHOCOBASE 73.5 G</t>
  </si>
  <si>
    <t>Galleta Gamesa Emperador Chocolate 91G</t>
  </si>
  <si>
    <t>DESCONTINUADO PANTENE PRO V RIZOS DEFINIDOS SHAMPOO 200ML</t>
  </si>
  <si>
    <t>SERUM NIVEA EXTRA ACLAR SPY 100 ML</t>
  </si>
  <si>
    <t>CEPILLO D ORAL B SUVE MICKEY</t>
  </si>
  <si>
    <t>LIMES PROFESSIONNELLES 2 BOARDS</t>
  </si>
  <si>
    <t>CEMPOALA VAINILLA CLEAR 500 ML</t>
  </si>
  <si>
    <t>PALETA BUBBA XTREME MORA AZUL 18.6gr</t>
  </si>
  <si>
    <t>EMPERADOR SENZO RELLENO CHOCO 117 G</t>
  </si>
  <si>
    <t>GOMITAS JOVY CHAMOY WORMS 100GR</t>
  </si>
  <si>
    <t>GOMITAS JOVY ENCHILOKAS DE MANGO 135 GR</t>
  </si>
  <si>
    <t>Galleta Gamesa Emperador Vainilla 91G</t>
  </si>
  <si>
    <t>PELON PELONETA CHAMOY SANDIA 21 GR</t>
  </si>
  <si>
    <t>Sandalias Havaianas TOP blanco Kinds 21</t>
  </si>
  <si>
    <t>GOMITAS JOVY CHAMOY BEARS 100GR</t>
  </si>
  <si>
    <t>CABLE DE 1HORA CABLE TIPO V8 descontinuado</t>
  </si>
  <si>
    <t>ARTICULOS PLAYA</t>
  </si>
  <si>
    <t>Peluche Sirena Fantasia CBS 45 CM</t>
  </si>
  <si>
    <t>FLASHLYTE FRESA NR 625ML</t>
  </si>
  <si>
    <t>Refresco Manzanita Sol 600 ml</t>
  </si>
  <si>
    <t>REFRESCO PEPSI 2LT</t>
  </si>
  <si>
    <t>RASTTRILLO BIC GILLETTE COMFORT PIEL SENSIBLE</t>
  </si>
  <si>
    <t>HUGGIES LITTLE SWIMMERS UNISEX11 15</t>
  </si>
  <si>
    <t>CHICHARRO SABRITAS SABRITONES  300 GRS</t>
  </si>
  <si>
    <t>galletas gamesa emperador piruetas  96grs</t>
  </si>
  <si>
    <t>GAMESA GALLETAS ARCOIRIS JALEA 94GR</t>
  </si>
  <si>
    <t>ICEE MINI CHERRY KS 85GR</t>
  </si>
  <si>
    <t>HAVAIANAS BRASIL LOGO  Marino 22</t>
  </si>
  <si>
    <t>Bolsa Bordada AplicaciónMediana Varios Colores Bolmedc9 GTC</t>
  </si>
  <si>
    <t>PLAYERA ADULTO ESTAMPADA LINEA 2023 FOIL PALMERAS ARENA EXTRA LARGE</t>
  </si>
  <si>
    <t>PLAYERA ADULTO ESTAMPADA LINEA 2023 FOIL PALMERAS AZUL CLARO EXTRA LARGE</t>
  </si>
  <si>
    <t>PLAYERA ADULTO ESTAMPADA LINEA 2023 FOIL PLAZA BLANCO EXTRA LARGE</t>
  </si>
  <si>
    <t>Aksa21 .925 Tzavorite Arete</t>
  </si>
  <si>
    <t>ARETE PLATA .925 EMERALD EARRING.925 7.3 GR</t>
  </si>
  <si>
    <t>ARETE PLATA CON PIEDRA L STUD .925 M  1 GR</t>
  </si>
  <si>
    <t>Isela Robles Media Arracada Mayab Plata 0.925</t>
  </si>
  <si>
    <t>Isela Robles Aretes Cúpulas Redondos, Poste Plata 0.925</t>
  </si>
  <si>
    <t>Isela Robles Aretes Con Piedras Mini Dalias 1.3 Plata 0.925, Cuentas Piedras Naturales Varias</t>
  </si>
  <si>
    <t>Isela Robles Aretes Sencillos Mini Dalia 1.3 Cm, Piedras Naturales Colgantes Plata 0.925 B Oro 14</t>
  </si>
  <si>
    <t>Isela Robles Mini Dije Dalia 1.3 Cm , Cadena Plata 45 Cms Con Baño De Oro Plata 0.925 B Oro 14 K</t>
  </si>
  <si>
    <t>Isela Robles Dije Dalia 4 Cms, Cadena Plata 45 Cms Plata 0.925</t>
  </si>
  <si>
    <t>Isela Robles Mini Dalia Con Cuentas Naturales, 45 Cms Largo</t>
  </si>
  <si>
    <t>Isela Robles Aretes Abanico Boho Chic De Acrílico Metal Colores Varios</t>
  </si>
  <si>
    <t>Isela Robles Aretes Abanico Boho Chic De Acrílico Baño Oro 14K Negro</t>
  </si>
  <si>
    <t>REFRESCO MANZANITA LIFT 2LT</t>
  </si>
  <si>
    <t>Hidratante Gatorade De Moras 1 litro</t>
  </si>
  <si>
    <t>Sandalias Havaianas BRASIL LOGO Azul Naval 24</t>
  </si>
  <si>
    <t>Peluche Shinymals No 6   155841 W10   Ruz</t>
  </si>
  <si>
    <t>Sandalias Havaianas TOP dama Blanco 22</t>
  </si>
  <si>
    <t>Sandalias Havaianas TRIA  dama Negro 22</t>
  </si>
  <si>
    <t>Sandalias Havaianas TRIA  dama Negro 23</t>
  </si>
  <si>
    <t>HAVAIANAS TOP PREP  Azul Naval 24 24</t>
  </si>
  <si>
    <t>PELUCHE DELFIN BAHARI 18 ADM</t>
  </si>
  <si>
    <t>Sandalias Havaianas TOP dama Blanco 23</t>
  </si>
  <si>
    <t>HAVAIANAS BRASIL LOGO  Marino 23</t>
  </si>
  <si>
    <t>HAVAIANAS TOP PREP  Azul Naval 22 22</t>
  </si>
  <si>
    <t>Peluche Agua De Mar Cocodrilo Dorian 40 Cm</t>
  </si>
  <si>
    <t>PELUCHE CHUBBY CERDO</t>
  </si>
  <si>
    <t>Lentes Luxottica 0Rbr0501S 6677Vr56 Unisex</t>
  </si>
  <si>
    <t>FT GLOVE ZAPATO ACUÁTICO LINEAS ROJO NARANJA TALLA  13</t>
  </si>
  <si>
    <t>JUEGO AGUA GAMER MARINO DAM</t>
  </si>
  <si>
    <t>PRECICOL C 20 TABS. (BUTILHIOCINA, PARACETAMOL)</t>
  </si>
  <si>
    <t>Peluche Delfin  Con sudadera</t>
  </si>
  <si>
    <t>Castillo De Arena con Accesorios (8 Pzs.)</t>
  </si>
  <si>
    <t>ZAPATO AGUA NIÑOS AMARILLO TALLA 4</t>
  </si>
  <si>
    <t>IMPORTACION</t>
  </si>
  <si>
    <t>ACTRON PLUS 400/100 MG CAJA C/10 CAP.</t>
  </si>
  <si>
    <t>CREMA CERAVE CERAVE LIMPIADORA HIDRATANTE 236ML 236 ML</t>
  </si>
  <si>
    <t>BB MINERAL SENSITIVE SPF50 LOTION 180ML</t>
  </si>
  <si>
    <t>CARAM RICOLA LIM MTA S/AZUC C/11</t>
  </si>
  <si>
    <t>EFFICIENT TALCO 251 100G</t>
  </si>
  <si>
    <t>DIMENHIDR DRAMAMINE INFANTIL 120 ML JARABE</t>
  </si>
  <si>
    <t>VICK DROPS MENTOL C/20PASTILLAS</t>
  </si>
  <si>
    <t>VICK DROPS JENGIBRE C/20</t>
  </si>
  <si>
    <t>Solución Nazil (Nafazolina, Condroitina 0.20mg ml) 15 ML</t>
  </si>
  <si>
    <t>VENDA ELASTICA 5 X 5</t>
  </si>
  <si>
    <t>TOALLA FACIAL PLAZA FIESTA FIUSHA UNITALLA</t>
  </si>
  <si>
    <t>TOALLA FACIAL AJOLOTE BLANCO UNITALLA</t>
  </si>
  <si>
    <t>TOALLA SUBLIMADA SURF  UNITALLA</t>
  </si>
  <si>
    <t>TOALLA BORDADA IGUANAS BUZO  MARINO UNITALLA</t>
  </si>
  <si>
    <t>SCRUFFIE DELFIN AZUL 38 CM FB</t>
  </si>
  <si>
    <t>SYNCOL CPR C12 (PARECETAMOL CITRATO DE DIFENHIDRAMINA 25 MG)</t>
  </si>
  <si>
    <t>SYNCOL MAX  12COMPRIM. (PARECETAMOL CITRATO DE DIFENHIDRAMINA 25 MG)</t>
  </si>
  <si>
    <t>TABCIN NOCHE CAPSULAS C 12 325 10 MG</t>
  </si>
  <si>
    <t>JARABE VICK 44 (GUAIFESINA, DEXTROMETORFANO) 240 ML</t>
  </si>
  <si>
    <t>TOALLA SUBLIMADA ESTRELLA  UNITALLA</t>
  </si>
  <si>
    <t>TOALLA BORDADA PECES III  NARANJA UNITALLA</t>
  </si>
  <si>
    <t>Toalla Bordada Serpentina Palmera Morado Unitalla</t>
  </si>
  <si>
    <t>TOALLA BORDADA DOS PECES  MARINO  UNITALLA</t>
  </si>
  <si>
    <t>PORTALATAS  CARIBE  By The Sea</t>
  </si>
  <si>
    <t>PORTABOTELLA CARIBE  By The Sea</t>
  </si>
  <si>
    <t>QUITA ESM SARA AROMA ORIGINAL 100 ML</t>
  </si>
  <si>
    <t>BOLSO CANVAS 38*30 B01L28 ALETTA S</t>
  </si>
  <si>
    <t>LLAVERO PIEDRA VOLVANICA MOLCAJETE AGUACATE VIDAL</t>
  </si>
  <si>
    <t>VIRGEN HUESO CON BASE PEQUEÑA</t>
  </si>
  <si>
    <t>SHORT DAMA BLACK  LSO5893 ING</t>
  </si>
  <si>
    <t>BERMUDA LINO 1054 ACERO MEDIUM</t>
  </si>
  <si>
    <t>NIKE CROSSBACK MONOKINI M672 PINK PRIME  NESSC723</t>
  </si>
  <si>
    <t>NIKE 6 VOLLEY SHORT BOY 7458 PHOTO BLUE  NESSB883</t>
  </si>
  <si>
    <t>PELUCHE SIRENA 18 ZOO FRIENDS PRINT ADM</t>
  </si>
  <si>
    <t>ZAPATO ACUATICO FT  MULTICOLOR   21</t>
  </si>
  <si>
    <t>FT GLOVE ZAPATO ACUÁTICO LINEAS GRIS ROSA TALLA  13</t>
  </si>
  <si>
    <t>Intex Salvavida See Me Sit Pool Ridders</t>
  </si>
  <si>
    <t>JUEGO AGUA GAMER DAM</t>
  </si>
  <si>
    <t>GEL ISDIN WOMAN ISDIN LUBRICANTE INTIMO</t>
  </si>
  <si>
    <t>CREMA ISDIN UREADIN MANOS PLUS 50ML REPAIR</t>
  </si>
  <si>
    <t>Avene Protector Solar Aceite FPS30 200ml</t>
  </si>
  <si>
    <t>CARAM RICOLA EUCALIP S/AZUC C/11</t>
  </si>
  <si>
    <t>LABELLO PROTECTRO DE LABIOS CLASSIC CARE 4.8G</t>
  </si>
  <si>
    <t>TOTE YUTE  357 SUNDARI</t>
  </si>
  <si>
    <t>BOLSA PALMA CON ASA (TRIANA)</t>
  </si>
  <si>
    <t>CLUTCH 340  SEA TURTLE</t>
  </si>
  <si>
    <t>POSITIVE BAG 366 FLAMINGO TROPICAL</t>
  </si>
  <si>
    <t>TARRO PORCELANA JUMBO AJOLOTES 16 OZ MAKI</t>
  </si>
  <si>
    <t>TARRO PORCELANA JUMBO CATRINA 16 OZ MAKI</t>
  </si>
  <si>
    <t>Vestido Dama Granada Dress Ma170011 Étnico Multicolor Extra Large</t>
  </si>
  <si>
    <t>NIKE CROSSBACK MONOKINI S672 PINK PRIME  NESSC723</t>
  </si>
  <si>
    <t>NIKE LONG SLEEVE HYDROGUA458 PHOTO BLUE  NESSC888</t>
  </si>
  <si>
    <t>NIKE 6 VOLLEY SHORT BOY 4458 PHOTO BLUE  NESSB883</t>
  </si>
  <si>
    <t>NIKE 6 VOLLEY SHORT BOY 5458 PHOTO BLUE  NESSB883</t>
  </si>
  <si>
    <t>NIKE 7 VOLLEY SHORT SPSYCHIC PURPLE  NESSC459</t>
  </si>
  <si>
    <t>SOBRERO PALMA DOBLADO</t>
  </si>
  <si>
    <t>NIKE SHORT NIÑO XL INDUSTRIAL BLUE  NESSA783</t>
  </si>
  <si>
    <t>PLAYERA NIKE HALF SLEEVE HYDROGUA L GAME ROYAL  NESSA825</t>
  </si>
  <si>
    <t>NIKE LONG SLEEVE HYDROGUA001 BLACK  NESSA826</t>
  </si>
  <si>
    <t>NIKE SCOOP NECK BIKINI TO L672 PINK PRIME  NESSC330</t>
  </si>
  <si>
    <t>SOMBREROS PALMA MAKRAME XHSULA</t>
  </si>
  <si>
    <t>NIKE SHORT NIÑO L INDUSTRIAL BLUE  NESSA783</t>
  </si>
  <si>
    <t>NIKE TRAJE DE BAÑO CABALLERO L312   ATOMIC GREEN  NESSB635</t>
  </si>
  <si>
    <t>CHEETOS BOLITAS DE QUESO 110G</t>
  </si>
  <si>
    <t>RASH GUAR  FLOREADA UZ 4702K</t>
  </si>
  <si>
    <t>VESTIDO DAMA LARGO MAXI RUTH MA9109 ORO EXTRA SMALL</t>
  </si>
  <si>
    <t>TRAJE DE BAÑO DAMA COMPLETO TD91764 NEGRO SMALL</t>
  </si>
  <si>
    <t>TRAJE DE BAÑO DAMA COMPLETO TD10778 BLANCO SMALL</t>
  </si>
  <si>
    <t>TRAJE DE BAÑO DAMA COMPLETO TD10778 BLANCO MEDIUM</t>
  </si>
  <si>
    <t>TRAJE DE BAÑO DAMA COMPLETO TD10778 BLANCO LARGE</t>
  </si>
  <si>
    <t>BOLSA LONA CHIDO BTS</t>
  </si>
  <si>
    <t>BERMUDA LINO 1054 NEGRO MEDIUM</t>
  </si>
  <si>
    <t>Conjunto Playera Short Inter Niño 14223 Talla 10 La Ideal</t>
  </si>
  <si>
    <t>Conjunto Short Y Playera De Interlook Niña 14219 Talla 4 La Ideal</t>
  </si>
  <si>
    <t>Vestido Interlook Niña 14218 Talla 3X La Ideal</t>
  </si>
  <si>
    <t>Conjunto Falda Y Playera De Interlook Niña 14220 Talla 3 La Ideal</t>
  </si>
  <si>
    <t>Conjunto Falda Y Playera De Interlook Niña 14220 Talla 4 La Ideal</t>
  </si>
  <si>
    <t>ANDANTOL 4MG 20GRAG ISOTIPENDILO</t>
  </si>
  <si>
    <t>Ropa Remate 20us</t>
  </si>
  <si>
    <t>Túnica Lino Deshilachada A751 Beige Unitalla</t>
  </si>
  <si>
    <t>TRAJE DE BAÑO DAMA BIKINI TD92767 MULTICOLOR SMALL</t>
  </si>
  <si>
    <t>TRAJE DE BAÑO DAMA COMPLETO DOBLE FAZ TD91762 SMALL</t>
  </si>
  <si>
    <t>TRAJE DE BAÑO DAMA TD10781 COMPLETO MARINO SMALL</t>
  </si>
  <si>
    <t>Anillo Plata Mix Topaz Ring.925 6.38 Gr Aksa</t>
  </si>
  <si>
    <t>Arete Plata Mix T. Earring.925 7.25 Gr Aksa</t>
  </si>
  <si>
    <t>ANILLO PLATA .925 W. OPAL RING .925 3.38 GR</t>
  </si>
  <si>
    <t>DIJE PLATA .925 ZULTANITE PENDANT 2.66 GR</t>
  </si>
  <si>
    <t>Mel Har Sandal + Barbie Transparente AH719 Talla 19 FW22 Mujer Estilo 33727</t>
  </si>
  <si>
    <t>SANDALIA UNISEXHAVAIANAS BRASIL   Café 24</t>
  </si>
  <si>
    <t>COLAGENO LIQUIDO THE EVERYDAY 50ML</t>
  </si>
  <si>
    <t>COLAGENO VAGINAL/RECTAL EN GEL 8ML  THE EVERYDAY LAB</t>
  </si>
  <si>
    <t>Conjunto Playera Short Inter Niño 14223 Talla 4 La Ideal</t>
  </si>
  <si>
    <t>Conjunto Short Y Playera De Interlook Niña 14216 Talla 3X La Ideal</t>
  </si>
  <si>
    <t>Conjunto Short Y Playera De Interlook Niña 14219 Talla 3 La Ideal</t>
  </si>
  <si>
    <t>Conjunto Short Y Playera De Interlook Niña 14219 Talla 6 La Ideal</t>
  </si>
  <si>
    <t>CARAM RICOLA NARANJA MENTA S AZUC C11</t>
  </si>
  <si>
    <t>ALGODON PROTEC 25G</t>
  </si>
  <si>
    <t>MERTHIOLATE BCO TINTURA 60ML</t>
  </si>
  <si>
    <t>PASTILLAS BRONCOLIN BICOESTOL  C 16 PAST</t>
  </si>
  <si>
    <t>TOALLA BORDADA PECES III  AMARILLO UNITALLA</t>
  </si>
  <si>
    <t>TABLETAS NEXT PARACETAMOL CAFEINA FENILEFRINA CLORFENAMINA  20 TABLETAS</t>
  </si>
  <si>
    <t>TOALLA BORDADA SERPENTINA PALMERA  AMARILLO UNITALLA</t>
  </si>
  <si>
    <t>TOALLA BORDADA DOS PECES  AMARILLO  UNITALLA</t>
  </si>
  <si>
    <t>Conjunto Falda Y Playera De Interlook Niña 14220 Talla 10 La Ideal</t>
  </si>
  <si>
    <t>Vestido Interlook Niña 14217 Talla 6 La Ideal</t>
  </si>
  <si>
    <t>Vestido Interlook Niña 14217 Talla 8 La Ideal</t>
  </si>
  <si>
    <t>Conjunto Short Y Playera De Interlook Niña 14216 Talla 2 La Ideal</t>
  </si>
  <si>
    <t>COAST 98 TRAJE DE BAÑO CABALLERO XL DAHLIA BLUE</t>
  </si>
  <si>
    <t>COAST 98 TRAJE DE BAÑO CABALLERO XS HONOLOLU</t>
  </si>
  <si>
    <t>Traje De Baño Caballero Bhi1231202 Varios T Ch - Ex Gde</t>
  </si>
  <si>
    <t>Malla Frunce Citrus, Petroleo, 16</t>
  </si>
  <si>
    <t>Lentes Luxottica 0RB3447L00150</t>
  </si>
  <si>
    <t>Conjunto Playera Short Inter Niño 14224 Talla 2 La Ideal</t>
  </si>
  <si>
    <t>Conjunto Falda Y Playera De Interlook Niña 14220 Talla 2 La Ideal</t>
  </si>
  <si>
    <t>Malla Frunce Citrus, Negro, 12</t>
  </si>
  <si>
    <t>Lentes Luxottica 0RB3735001/5160</t>
  </si>
  <si>
    <t>Lentes Luxottica Versace 0VE4439 GB1/8733 Female</t>
  </si>
  <si>
    <t>Lentes Luxottica 0OO946394630139</t>
  </si>
  <si>
    <t>Lentes Luxottica 0OO9455M94550249</t>
  </si>
  <si>
    <t>T. BAÑO  CAB OCESLAVE TS 0044 PECES L</t>
  </si>
  <si>
    <t>T. BAÑO  CAB OCESLAVE TS 0044 PECES XL</t>
  </si>
  <si>
    <t>ULTRA BENGUE GEL 35G (NAPROXENO Y Clorhidrato de Lidocaina)</t>
  </si>
  <si>
    <t>BALSAMO LABIAL MINIATURA VASELINE 7GR.</t>
  </si>
  <si>
    <t>TOTE YUTE  355 Ananda</t>
  </si>
  <si>
    <t>BOLSA HENEQUEN (TRIANA)</t>
  </si>
  <si>
    <t>CLUTCH 346  SEA HORSE</t>
  </si>
  <si>
    <t>CLUTCHESITO 340  SEA TURTLE</t>
  </si>
  <si>
    <t>POSITIVE BAG 365 PINK FLAMINGO</t>
  </si>
  <si>
    <t>LLAVERO PIEDRA VOLVANICA MOLCAJETE FRESA VIDAL</t>
  </si>
  <si>
    <t>Eclipse Barro Mini</t>
  </si>
  <si>
    <t>NIKE CROSSBACK MONOKINI XL672 PINK PRIME  NESSC723</t>
  </si>
  <si>
    <t>NIKE 8 VOLLEY SHORT BOY S312 ATOMIC GREEN  NESSC780</t>
  </si>
  <si>
    <t>NIKE 6 VOLLEY SHORT BOY 6458 PHOTO BLUE  NESSB883</t>
  </si>
  <si>
    <t>NIKE 7 VOLLEY SHORT MPSYCHIC PURPLE  NESSC459</t>
  </si>
  <si>
    <t>SOMBRERO MACRAME HOJA COLORES GRIS BLANCO</t>
  </si>
  <si>
    <t>VISERA PALMA PERLAS Y MACRAME</t>
  </si>
  <si>
    <t>Lentes Luxottica 0OO914791470463</t>
  </si>
  <si>
    <t>PLAYERA DAMA ESTAMPADA H. DONT W B H NEGRO EXTRA LARGE</t>
  </si>
  <si>
    <t>PLAYERA ADULTO ESTAMPADA LINEA H. GAVIOTA PALMERA BLANCO SMALL</t>
  </si>
  <si>
    <t>PLAYERA NIÑO ESTAMPADA LINEA AJOLOTE CACTUS BLANCO LARGE</t>
  </si>
  <si>
    <t>[JD159436205] COLLAR CHAPA DE ORO BOLAS SEDA COMPLETO JD159426205</t>
  </si>
  <si>
    <t>SUDADERA BEYERI XG HONGOLS DECO TURQ</t>
  </si>
  <si>
    <t>FUNDA TELEFONO ECONOMICA NEGRO ZINGRA</t>
  </si>
  <si>
    <t>FUNDA TELEFONO ECONOMICA NARANJA ZINGRA</t>
  </si>
  <si>
    <t>PAREO DEL MAR LISO  UNI</t>
  </si>
  <si>
    <t>PLAYERA DAMA ESTAMPADA H. GRILS W.SUN AQUA SMALL</t>
  </si>
  <si>
    <t>PLAYERA ADULTO ESTAMPADA LINEA H. GAVIOTA PALMERA BLANCO MEDIUM</t>
  </si>
  <si>
    <t>PLAYERA ADULTO ESTAMPADA JASPE H. LENTES ROYAL MEDIUM</t>
  </si>
  <si>
    <t>PLAYERA NIÑO ESTAMPADA LINEA AJOLOTE CACTUS BLANCO EXTRA LARGE</t>
  </si>
  <si>
    <t>COLLAR C/MANDALA PERLAS BOLAS SEDA JD1592912005</t>
  </si>
  <si>
    <t>COLLAR C/MARIPOSA METAL CRISTAL BO SEDAJD1593720305</t>
  </si>
  <si>
    <t>VESTIDO CUAUHTLI AGUI REAL MEX A MNO RD403070755513 TALLA XL</t>
  </si>
  <si>
    <t>SABRITAS CHEETOS JALAPEÑO 58 G</t>
  </si>
  <si>
    <t>Vestido Dama Piñón Short Dress Mc8106 Gris Extra Large</t>
  </si>
  <si>
    <t>NIKE SCOOP NECK BIKINI TO M672 PINK PRIME  NESSC330</t>
  </si>
  <si>
    <t>NIKE KICKSHORT S672 PINK PRIME  NESSC332</t>
  </si>
  <si>
    <t>Vestido Largo Algodón Con Aplicaciones Mod. 35058 X   Xl</t>
  </si>
  <si>
    <t>KAMHILOS REBOZO DAMA VARIOS COLORES OBSCUROS</t>
  </si>
  <si>
    <t>KAMHILOS CHALINA DAMA VARIOS COLORES CLAROS</t>
  </si>
  <si>
    <t>KAMHILOS CHALINA DAMA VARIOS COLORES OBSCUROS</t>
  </si>
  <si>
    <t>TRAJE DE BAÑO DAMA BIKINI TD20768 ROJO LARGE</t>
  </si>
  <si>
    <t>Anillo Plata Mix Topaz Ring.925 4.89 Gr Aksa</t>
  </si>
  <si>
    <t>Dije Plata Mix T. Pendant.925 3.95 Gr Aksa</t>
  </si>
  <si>
    <t>AKSA AKSA21 .925 TANZANITE RING</t>
  </si>
  <si>
    <t>Conjunto Playera Short Inter Niño 14223 Talla 8 La Ideal</t>
  </si>
  <si>
    <t>Conjunto Short Y Playera De Interlook Niña 14216 Talla 10 La Ideal</t>
  </si>
  <si>
    <t>Conjunto Short Y Playera De Interlook Niña 14219 Talla 3X La Ideal</t>
  </si>
  <si>
    <t>Conjunto Short Y Playera De Interlook Niña 14219 Talla 8 La Ideal</t>
  </si>
  <si>
    <t>Vestido Interlook Niña 14217 Talla 10 La Ideal</t>
  </si>
  <si>
    <t>Vestido Interlook Niña 14217 Talla 2 La Ideal</t>
  </si>
  <si>
    <t>Conjunto Playera Short Inter Niño 14224 Talla 6 La Ideal</t>
  </si>
  <si>
    <t>COAST 98 TRAJE DE BAÑO CABALLERO S DAHLIA BLUE</t>
  </si>
  <si>
    <t>FUNDA TELEFONO ECONOMICA VERDE ZINGRA</t>
  </si>
  <si>
    <t>NIKE LONG SLEEVE HYDROGUA XL  NESSB747</t>
  </si>
  <si>
    <t>NIKE SCOOP NECK BIKINI TO XS672 PINK PRIME  NESSC330</t>
  </si>
  <si>
    <t>NIKE SCOOP NECK BIKINI TO S672 PINK PRIME  NESSC330</t>
  </si>
  <si>
    <t>Traje De Baño Grecas Mar XXLarge</t>
  </si>
  <si>
    <t>Traje De Baño Mariachi Large</t>
  </si>
  <si>
    <t>Malla Frunce Citrus, Negro, 08</t>
  </si>
  <si>
    <t>Malla Frunce Citrus, Negro, 10</t>
  </si>
  <si>
    <t>Malla Frunce Citrus, Negro, 16</t>
  </si>
  <si>
    <t>Malla Frunce Citrus, Petroleo, 08</t>
  </si>
  <si>
    <t>Malla Frunce Citrus, Petroleo, 10</t>
  </si>
  <si>
    <t>Malla Frunce Citrus, Petroleo, 12</t>
  </si>
  <si>
    <t>Malla Frunce Citrus, Petroleo, 14</t>
  </si>
  <si>
    <t>Lentes Luxottica 0VE446454588755</t>
  </si>
  <si>
    <t>Lentes Luxottica 0RBR0502S66777253</t>
  </si>
  <si>
    <t>Lentes Luxottica 0RB3648M004/7152</t>
  </si>
  <si>
    <t>Lentes Luxottica 0VE4432UGB1/8753</t>
  </si>
  <si>
    <t>Lentes Luxottica 0OO918891880459</t>
  </si>
  <si>
    <t>Lentes Luxottica 0OO91029102W955</t>
  </si>
  <si>
    <t>T. BAÑO  CAB OCESLAVE TS 0044 PECES M</t>
  </si>
  <si>
    <t>T. BAÑO  CAB OCESLAVE TS 0044 PECES XXL</t>
  </si>
  <si>
    <t>T. BAÑO  CAB OCESLAVE TS 0606 SHOOT M</t>
  </si>
  <si>
    <t>T. BAÑO  CAB OCESLAVE TS 0505 WHISKY M</t>
  </si>
  <si>
    <t>T. BAÑO  CAB OCESLAVE TS 0505 WHISKY XL</t>
  </si>
  <si>
    <t>T. BAÑO  CAB OCESLAVE TS 0140 IBIZA M</t>
  </si>
  <si>
    <t>T. BAÑO  CAB OCESLAVE TS 0140 IBIZA XL</t>
  </si>
  <si>
    <t>SABRITAS ORIGINAL 42 GR</t>
  </si>
  <si>
    <t>SABRITAS LIMON 42GR</t>
  </si>
  <si>
    <t>SABRITAS CREMAS Y ESPECIES 44GR</t>
  </si>
  <si>
    <t>CHEETOS BOLITAS DE QUESO 46GR</t>
  </si>
  <si>
    <t>PLAYERA DAMA ESTAMPADA H. DONT W B H NEGRO LARGE</t>
  </si>
  <si>
    <t>PLAYERA DAMA ESTAMPADA H. GRILS W.SUN AQUA MEDIUM</t>
  </si>
  <si>
    <t>PLAYERA DAMA ESTAMPADA H. GRILS W.SUN AQUA LARGE</t>
  </si>
  <si>
    <t>PLAYERA ADULTO ESTAMPADA LINEA H. GAVIOTA PALMERA BLANCO LARGE</t>
  </si>
  <si>
    <t>PLAYERA ADULTO ESTAMPADA LINEA H. GAVIOTA PALMERA BLANCO EXTRA LARGE</t>
  </si>
  <si>
    <t>PLAYERA ADULTO ESTAMPADA JASPE H. LENTES ROYAL SMALL</t>
  </si>
  <si>
    <t>PLAYERA ADULTO ESTAMPADA JASPE H. LENTES ROYAL EXTRA LARGE</t>
  </si>
  <si>
    <t>PLAYERA ADULTO ESTAMPADA JASPE H. LENTES ROYAL 2X LARGE</t>
  </si>
  <si>
    <t>Isela Robles Collar Pectoral Dalias Boho Chic De Acrílico Listón De Seda Marfil</t>
  </si>
  <si>
    <t>PLAYERA ADULTO ESTAMPADA HUICHOL JAGUAR BLANCO  MEDIUM</t>
  </si>
  <si>
    <t>COLLAR FLORA MARIA FLORECIENDO PLATA .925</t>
  </si>
  <si>
    <t>COLLAR MANDIR HELIODOR P574 PLATA .925</t>
  </si>
  <si>
    <t>Eliar Short dama con técnica talla 11</t>
  </si>
  <si>
    <t>Cabo Fashion Set Yoga Multicolor S-L</t>
  </si>
  <si>
    <t>SALIDA DE PLAYA MOD 4205 DAMBA ROSA L</t>
  </si>
  <si>
    <t>PAREO ESTAMPADO PAREOS DEL MAR  MULTI</t>
  </si>
  <si>
    <t>SALIDA DE PLAYA MOD 4205 DAMBA VERDE S</t>
  </si>
  <si>
    <t>SALIDA DE PLAYA MOD 4205 DAMBA VERDE L</t>
  </si>
  <si>
    <t>CAFTAN CORTO VELMART  MULTICOLOR UNITALLA</t>
  </si>
  <si>
    <t>Túnica Seda 3955 Verde Militar Unitalla</t>
  </si>
  <si>
    <t>Vestido Dama Largo Kris Multicolor Yoa Unitalla</t>
  </si>
  <si>
    <t>Playera UV Caballero Motor oil Celeste 2 Extra Large</t>
  </si>
  <si>
    <t>Playera UV Caballero Motor oil Gris claro Large</t>
  </si>
  <si>
    <t>PLAYERA NIÑO ESTAMPADA LINEA AJOLOTE CACTUS BLANCO MEDIUM</t>
  </si>
  <si>
    <t>PLAYERA NIÑO ESTAMPADA LINEA AJOLOTE CACTUS BLANCO SMALL</t>
  </si>
  <si>
    <t>LAYS STAX CHEESE CHEDDAR 155.9G</t>
  </si>
  <si>
    <t>ARETES CHAPA DE ORO PERLAS BOLA SEDA JD1593112005</t>
  </si>
  <si>
    <t>KAFTAN NDOHI DIA M MICTLAN MDORD388020156740</t>
  </si>
  <si>
    <t>PLAYERA POLO BALLENA MNO RC1522520457113 TALLA S</t>
  </si>
  <si>
    <t>BOLSA RAYADA GRANDE PRIDE BLANCO UNITALLA</t>
  </si>
  <si>
    <t>SUDADERA CAPUCHA CON CIERRE APLICACIÓN ING 911 NEGRO</t>
  </si>
  <si>
    <t>PLAYERA NIÑO NEON BURRITO PIÑATA  NEGRO 6 8 AÑOS</t>
  </si>
  <si>
    <t>PLAYERA NIÑO NEON MUÑECA GUIÑO NEGRO 6 8 AÑOS</t>
  </si>
  <si>
    <t>PLAYERA NIÑO NEON CHIHUAHUA  NEGRO 2 4 AÑOS</t>
  </si>
  <si>
    <t>Descontinuada taza ceramica  Color  grabada</t>
  </si>
  <si>
    <t>CAMISA FLORES YOA MULTICOLOR 2X LARGE</t>
  </si>
  <si>
    <t>PLUMA DECORADA PINTADO FLORES LELE ARTDJ</t>
  </si>
  <si>
    <t>SUDADERA SUDADERA CAPUCHA HOODIE CARIBBEAN SIDE NAVY AZUL LARGE</t>
  </si>
  <si>
    <t>Magneto Pvc Destapador Premium Mx Togo</t>
  </si>
  <si>
    <t>ENCENDEDOR PLASTICO CATRINA DISEÑOS ADM</t>
  </si>
  <si>
    <t>ENCENDEDOR PLASTICO CERAMICA MEXICO DISEÑO ADM</t>
  </si>
  <si>
    <t>FIGURA RESINA TORTUGA DELUXE MEDIANA BTS</t>
  </si>
  <si>
    <t>ENCENDEDOR PLASTICO ECO SEA LIFE</t>
  </si>
  <si>
    <t>ARETE SI´KULI CON PLUMA ABUNDANCIA Y PROTECCIÓN II CUICARI</t>
  </si>
  <si>
    <t>FIGURA DECORATIVA MADERA RESINA PINTADO TORTUGA REAL GRANDE ART CORAZON</t>
  </si>
  <si>
    <t>Tequilero Barro Muñequita  Decorado Neon Ayb</t>
  </si>
  <si>
    <t>Taza Barro  Frida Incrustada Artdj</t>
  </si>
  <si>
    <t>CRANEO CERAMICA MEDIANO PUNK PUNTOS PROMOTORA</t>
  </si>
  <si>
    <t>CHAROLA TALAVERA PUEBLA LISA PEQUEÑA</t>
  </si>
  <si>
    <t>CENICERO CERAMICA SOMBRERO PUNTOS PROMOTORA</t>
  </si>
  <si>
    <t>Bolsa Piel  Pasaportera Gamusa Chico Giron</t>
  </si>
  <si>
    <t>Bolsa  Tela Pasaportera Castor Sin Adornos Chico Giron</t>
  </si>
  <si>
    <t>BOLSA TELA PANAL CON CORDON PEQUEÑA</t>
  </si>
  <si>
    <t>Bolsa Piel carnaza  Flecos pequeña</t>
  </si>
  <si>
    <t>ALCANCIA BARRO MUÑECA LELE ARTDJ</t>
  </si>
  <si>
    <t>CREMA DENTAL SENSODYNE 50 G WHITENING ANTISARRO</t>
  </si>
  <si>
    <t>DESODORAN REXONA BAMBOO 150 ML MOTIONSENSE</t>
  </si>
  <si>
    <t>GARNIER BI O PROTECTION 5</t>
  </si>
  <si>
    <t>Condones Prudence Aroma Chocolate 3 Pza.</t>
  </si>
  <si>
    <t>CREMA DENTAL COLGATE TRIP ACC</t>
  </si>
  <si>
    <t>Lima para pies + 2 separadores top fashion</t>
  </si>
  <si>
    <t>TOLLAS HUMEDAS ANTIBAC ESCUDO SB C 10 S</t>
  </si>
  <si>
    <t>DECONTINUADO  TROJAN PRESERVATIVO  PIEL DESNUDA 3 CONDONES</t>
  </si>
  <si>
    <t>ANTITRANSPIRANTE FRESCURA 65 G</t>
  </si>
  <si>
    <t>SABA BUENAS NOCHES REGULAR C 10</t>
  </si>
  <si>
    <t>TOP FASHION PERSONAL CARE KIT</t>
  </si>
  <si>
    <t>RASTRILLO BIG COMFORT 3 HYBRID  C 1PZA</t>
  </si>
  <si>
    <t>NEUTROGENA TOALLAS DESMAQUILLANTES 25PZ 19X18.5CM</t>
  </si>
  <si>
    <t>PAKETAXO BOTANERO 290GR</t>
  </si>
  <si>
    <t>Trident twist raspberry 17.5 g</t>
  </si>
  <si>
    <t>CEMPOALA VAINILLA 250 ML</t>
  </si>
  <si>
    <t>RECETA CRUJIENTE CHILES ROJOS 170G</t>
  </si>
  <si>
    <t>Sandalias Havaianas TOP blanco Kinds 18</t>
  </si>
  <si>
    <t>LAS SEVILLANAS OBLEAS 50G</t>
  </si>
  <si>
    <t>HAVAIANAS TOP PREP  Azul Naval 23 23</t>
  </si>
  <si>
    <t>Peluche Squishy Chango 24 ADM</t>
  </si>
  <si>
    <t>ZAPATO AGUA NIÑOS 179 NEGRO TALLA 4</t>
  </si>
  <si>
    <t>ZAPATO AGUA NIÑOS 179 NEGRO TALLA 12</t>
  </si>
  <si>
    <t>maclov aciclovir 400mg caja c  35 tabl. (ACICLOVIR 400MG C35TAB)</t>
  </si>
  <si>
    <t>BANDITAS CURITAS FROZEN  CAMBIO DE CODIGO CURITAS FROZEN 20 PIEZAS</t>
  </si>
  <si>
    <t>MICROPORE BCO 1.25 x 5 m</t>
  </si>
  <si>
    <t>TOALLA SUBLIMADA DELFIN  UNITALLA</t>
  </si>
  <si>
    <t>TOALLA FACIAL PLAZA COLORES MARINO UNITALLA</t>
  </si>
  <si>
    <t>TOALLA BORDADA SERPENTINA PALMERA  MARINO UNITALLA</t>
  </si>
  <si>
    <t>BALSAMO LABIAL ROSADO VASELINE 7 GR</t>
  </si>
  <si>
    <t>LABELLO ALOE 2 EN 1 48GRS</t>
  </si>
  <si>
    <t>CLUTCH 349 WHALE</t>
  </si>
  <si>
    <t>POSITIVE BAG 360 DOLPHINS</t>
  </si>
  <si>
    <t>TAZA PORCELANA MEXICO 12 OZ MAKI</t>
  </si>
  <si>
    <t>LLAVERO PIEDRA VOLVANICA MOLCAJETE PUERCO NEGRO VIDAL</t>
  </si>
  <si>
    <t>PLAYERA NIÑO NEON MUÑECA GUIÑO NEGRO 10 12 AÑOS</t>
  </si>
  <si>
    <t>NIKE CROSSBACK MONOKINI L672 PINK PRIME  NESSC723</t>
  </si>
  <si>
    <t>SOMBRERO PALMA DAMA MOTIVO (TRIANA)</t>
  </si>
  <si>
    <t>SOMBRERO MACRAME HOJA COLORES BLANCO NEGRO</t>
  </si>
  <si>
    <t>NIKE SHORT NIÑO M INDUSTRIAL BLUE  NESSA783</t>
  </si>
  <si>
    <t>NIKE KICKSHORT XL672 PINK PRIME  NESSC332</t>
  </si>
  <si>
    <t>FIGURA ONIX PALOMA EN HORQUETA MINI</t>
  </si>
  <si>
    <t>NIKE SHORT NIÑO S INDUSTRIAL BLUE  NESSA783</t>
  </si>
  <si>
    <t>CACAHUATES MAFER SURTIDO SALADO 120 GR</t>
  </si>
  <si>
    <t>BAJA CONJUNTO  TIE DYE ID402</t>
  </si>
  <si>
    <t>Vestido Largo Algodón Con Bordado Mod. 34895A X   Xl</t>
  </si>
  <si>
    <t>Blusa Dama Aldana Blouse Mc8093 Terracota Extra Large</t>
  </si>
  <si>
    <t>Camisa Lino Manga Corta 4099 Blanco 2x Large</t>
  </si>
  <si>
    <t>TRAJE DE BAÑO DAMA BIKINI TD92764 NEGRO SMALL</t>
  </si>
  <si>
    <t>Zingara Short de Caballero Blanco Extra Large</t>
  </si>
  <si>
    <t>Anillo Plata Mix Topaz Ring.925 4.69 Gr Aksa</t>
  </si>
  <si>
    <t>Collar Plata Mix T. Necklace.925 5.53 Gr Aksa</t>
  </si>
  <si>
    <t>Collar Plata Mix T. Necklace.925 9.85 Gr Aksa</t>
  </si>
  <si>
    <t>Aksa .925 Sapphire Ring Anillos (1.87)</t>
  </si>
  <si>
    <t>Melissa Harmonic Sweet V Inf Negro AG973 Talla 19 FW22 Mujer Estilo 33696</t>
  </si>
  <si>
    <t>Melissa Harmonic Sweet V Inf Negro AG973 Talla 21 FW22 Mujer Estilo 33696</t>
  </si>
  <si>
    <t>Conjunto Short Y Playera De Interlook Niña 14216 Talla 3 La Ideal</t>
  </si>
  <si>
    <t>Conjunto Falda Y Playera De Interlook Niña 14220 Talla 3X La Ideal</t>
  </si>
  <si>
    <t>Vestido Interlook Niña 14217 Talla 3 La Ideal</t>
  </si>
  <si>
    <t>Conjunto Short Y Playera De Interlook Niña 14219 Talla 2 La Ideal</t>
  </si>
  <si>
    <t>Conjunto Playera Short Inter Niño 14224 Talla 3 La Ideal</t>
  </si>
  <si>
    <t>Traje De Baño Mariachi Small</t>
  </si>
  <si>
    <t>Traje De Baño Mariachi XXLarge</t>
  </si>
  <si>
    <t>Malla Frunce Citrus, Negro, 14</t>
  </si>
  <si>
    <t>Lentes Luxottica 0OO944894482760</t>
  </si>
  <si>
    <t>T. BAÑO  CAB OCESLAVE TS 0505  WHISKY L</t>
  </si>
  <si>
    <t>T. BAÑO  CAB OCESLAVE TS 0140 IBIZA L</t>
  </si>
  <si>
    <t>SABRITAS HABANERO CHICO 44G</t>
  </si>
  <si>
    <t>PLAYERA DAMA ESTAMPADA H. GRILS W.SUN AQUA EXTRA LARGE</t>
  </si>
  <si>
    <t>PLAYERA DAMA ESTAMPADA H. DONT W B H NEGRO SMALL</t>
  </si>
  <si>
    <t>PLAYERA DAMA ESTAMPADA H. DONT W B H NEGRO MEDIUM</t>
  </si>
  <si>
    <t>PLAYERA ADULTO ESTAMPADA JASPE H. LENTES ROYAL LARGE</t>
  </si>
  <si>
    <t>PAÑUELO 33 CERAMICA PREHIS FUCSIA SKU AC03011847128</t>
  </si>
  <si>
    <t>COLL KUUK ZAFIRO 68cm</t>
  </si>
  <si>
    <t>COLLAR VIRGEN VITAGE VARIOS SKU JD0962820105</t>
  </si>
  <si>
    <t>COLLAR VIRGEN CIRCULO VARIOS SKU JD0963420005</t>
  </si>
  <si>
    <t>SUDADERA BEYERI MD HONGOS DECO TURQ</t>
  </si>
  <si>
    <t>BOMB DÖNJA VUELO MARIP RJO RD390370756051 TALLA XL</t>
  </si>
  <si>
    <t>FUNDA TELEFONO ECONOMICA AZUL ZINGRA</t>
  </si>
  <si>
    <t>PLAYERA NIKE HALF SLEEVE HYDROGUA M GAME ROYAL  NESSA825</t>
  </si>
  <si>
    <t>PLAYERA NIKE HALF SLEEVE HYDROGUA XL GAME ROYAL  NESSA825</t>
  </si>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</sst>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1" fillId="2" borderId="0" xfId="0" applyNumberFormat="1" applyFont="1" applyFill="1"/>
    <xf numFmtId="0" fontId="0" fillId="2" borderId="0" xfId="0" applyNumberFormat="1" applyFill="1"/>
    <xf numFmtId="164" fontId="1" fillId="2" borderId="0" xfId="0" applyNumberFormat="1" applyFont="1" applyFill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7E8D-DDCF-402B-A5A3-AD32B3423A2F}">
  <dimension ref="A1:Y620"/>
  <sheetViews>
    <sheetView tabSelected="1" workbookViewId="0"/>
  </sheetViews>
  <sheetFormatPr baseColWidth="10" defaultRowHeight="14.5" x14ac:dyDescent="0.35"/>
  <cols>
    <col min="1" max="1" width="17" style="1" customWidth="1"/>
    <col min="2" max="4" width="11.54296875" style="1"/>
    <col min="5" max="5" width="34.1796875" style="1" customWidth="1"/>
    <col min="6" max="7" width="10.90625" style="1"/>
    <col min="8" max="8" width="10.90625" style="9"/>
    <col min="9" max="10" width="10.90625" style="1"/>
    <col min="11" max="11" width="15.6328125" customWidth="1"/>
  </cols>
  <sheetData>
    <row r="1" spans="1:2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1907</v>
      </c>
      <c r="F1" s="3" t="s">
        <v>1908</v>
      </c>
      <c r="G1" s="5" t="s">
        <v>1906</v>
      </c>
      <c r="H1" s="7" t="s">
        <v>1906</v>
      </c>
      <c r="I1" s="3" t="s">
        <v>1909</v>
      </c>
      <c r="J1" s="3" t="s">
        <v>2493</v>
      </c>
      <c r="K1" s="4" t="s">
        <v>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</row>
    <row r="2" spans="1:25" x14ac:dyDescent="0.35">
      <c r="A2" s="1" t="s">
        <v>19</v>
      </c>
      <c r="B2" s="1" t="s">
        <v>20</v>
      </c>
      <c r="C2" s="1" t="s">
        <v>21</v>
      </c>
      <c r="D2" s="1" t="s">
        <v>22</v>
      </c>
      <c r="E2" s="2" t="s">
        <v>1910</v>
      </c>
      <c r="F2" s="2" t="s">
        <v>1911</v>
      </c>
      <c r="G2" s="6">
        <v>380</v>
      </c>
      <c r="H2" s="8">
        <f t="shared" ref="H2" si="0">+G2/(1+I2/100)</f>
        <v>327.58620689655174</v>
      </c>
      <c r="I2" s="2">
        <v>16</v>
      </c>
      <c r="J2" s="2">
        <f>1-M2/H2</f>
        <v>0.6947368421052631</v>
      </c>
      <c r="K2" t="s">
        <v>23</v>
      </c>
      <c r="L2">
        <v>1</v>
      </c>
      <c r="M2">
        <v>100</v>
      </c>
      <c r="N2">
        <v>100</v>
      </c>
      <c r="O2">
        <v>0</v>
      </c>
      <c r="P2">
        <v>100</v>
      </c>
      <c r="Q2">
        <v>1</v>
      </c>
      <c r="R2">
        <v>100</v>
      </c>
      <c r="S2" t="s">
        <v>24</v>
      </c>
      <c r="T2" t="s">
        <v>24</v>
      </c>
      <c r="U2" t="s">
        <v>24</v>
      </c>
      <c r="V2" t="s">
        <v>25</v>
      </c>
      <c r="W2" t="s">
        <v>23</v>
      </c>
      <c r="X2" t="s">
        <v>26</v>
      </c>
      <c r="Y2" t="s">
        <v>24</v>
      </c>
    </row>
    <row r="3" spans="1:25" x14ac:dyDescent="0.35">
      <c r="A3" s="1" t="s">
        <v>27</v>
      </c>
      <c r="B3" s="1" t="s">
        <v>28</v>
      </c>
      <c r="C3" s="1" t="s">
        <v>29</v>
      </c>
      <c r="D3" s="1" t="s">
        <v>30</v>
      </c>
      <c r="E3" s="2" t="s">
        <v>1912</v>
      </c>
      <c r="F3" s="2" t="s">
        <v>1913</v>
      </c>
      <c r="G3" s="6">
        <v>300</v>
      </c>
      <c r="H3" s="8">
        <f>+G3/(1+I3/100)</f>
        <v>258.62068965517244</v>
      </c>
      <c r="I3" s="2">
        <v>16</v>
      </c>
      <c r="J3" s="2">
        <f t="shared" ref="J3:J66" si="1">1-M3/H3</f>
        <v>0.73087999999999997</v>
      </c>
      <c r="K3" t="s">
        <v>31</v>
      </c>
      <c r="L3">
        <v>4</v>
      </c>
      <c r="M3">
        <v>69.599999999999994</v>
      </c>
      <c r="N3">
        <v>69.599999999999994</v>
      </c>
      <c r="O3">
        <v>0</v>
      </c>
      <c r="P3">
        <v>278.39999999999998</v>
      </c>
      <c r="Q3">
        <v>4</v>
      </c>
      <c r="R3">
        <v>278.39999999999998</v>
      </c>
      <c r="S3" t="s">
        <v>24</v>
      </c>
      <c r="T3" t="s">
        <v>24</v>
      </c>
      <c r="U3" t="s">
        <v>24</v>
      </c>
      <c r="V3" t="s">
        <v>25</v>
      </c>
      <c r="W3" t="s">
        <v>31</v>
      </c>
      <c r="X3" t="s">
        <v>26</v>
      </c>
      <c r="Y3" t="s">
        <v>24</v>
      </c>
    </row>
    <row r="4" spans="1:25" x14ac:dyDescent="0.35">
      <c r="A4" s="1" t="s">
        <v>32</v>
      </c>
      <c r="B4" s="1" t="s">
        <v>33</v>
      </c>
      <c r="C4" s="1" t="s">
        <v>34</v>
      </c>
      <c r="D4" s="1" t="s">
        <v>35</v>
      </c>
      <c r="E4" s="2" t="s">
        <v>1914</v>
      </c>
      <c r="F4" s="2" t="s">
        <v>1913</v>
      </c>
      <c r="G4" s="6">
        <v>300</v>
      </c>
      <c r="H4" s="8">
        <f t="shared" ref="H4:H67" si="2">+G4/(1+I4/100)</f>
        <v>258.62068965517244</v>
      </c>
      <c r="I4" s="2">
        <v>16</v>
      </c>
      <c r="J4" s="2">
        <f t="shared" si="1"/>
        <v>0.73087999999999997</v>
      </c>
      <c r="K4" t="s">
        <v>36</v>
      </c>
      <c r="L4">
        <v>1</v>
      </c>
      <c r="M4">
        <v>69.599999999999994</v>
      </c>
      <c r="N4">
        <v>69.599999999999994</v>
      </c>
      <c r="O4">
        <v>0</v>
      </c>
      <c r="P4">
        <v>69.599999999999994</v>
      </c>
      <c r="Q4">
        <v>1</v>
      </c>
      <c r="R4">
        <v>69.599999999999994</v>
      </c>
      <c r="S4" t="s">
        <v>24</v>
      </c>
      <c r="T4" t="s">
        <v>24</v>
      </c>
      <c r="U4" t="s">
        <v>24</v>
      </c>
      <c r="V4" t="s">
        <v>25</v>
      </c>
      <c r="W4" t="s">
        <v>36</v>
      </c>
      <c r="X4" t="s">
        <v>26</v>
      </c>
      <c r="Y4" t="s">
        <v>24</v>
      </c>
    </row>
    <row r="5" spans="1:25" x14ac:dyDescent="0.35">
      <c r="A5" s="1" t="s">
        <v>37</v>
      </c>
      <c r="B5" s="1" t="s">
        <v>38</v>
      </c>
      <c r="C5" s="1" t="s">
        <v>34</v>
      </c>
      <c r="D5" s="1" t="s">
        <v>35</v>
      </c>
      <c r="E5" s="2" t="s">
        <v>1915</v>
      </c>
      <c r="F5" s="2" t="s">
        <v>1913</v>
      </c>
      <c r="G5" s="6">
        <v>300</v>
      </c>
      <c r="H5" s="8">
        <f t="shared" si="2"/>
        <v>258.62068965517244</v>
      </c>
      <c r="I5" s="2">
        <v>16</v>
      </c>
      <c r="J5" s="2">
        <f t="shared" si="1"/>
        <v>0.73087999999999997</v>
      </c>
      <c r="K5" t="s">
        <v>39</v>
      </c>
      <c r="L5">
        <v>4</v>
      </c>
      <c r="M5">
        <v>69.599999999999994</v>
      </c>
      <c r="N5">
        <v>69.599999999999994</v>
      </c>
      <c r="O5">
        <v>0</v>
      </c>
      <c r="P5">
        <v>278.39999999999998</v>
      </c>
      <c r="Q5">
        <v>4</v>
      </c>
      <c r="R5">
        <v>278.39999999999998</v>
      </c>
      <c r="S5" t="s">
        <v>24</v>
      </c>
      <c r="T5" t="s">
        <v>24</v>
      </c>
      <c r="U5" t="s">
        <v>24</v>
      </c>
      <c r="V5" t="s">
        <v>25</v>
      </c>
      <c r="W5" t="s">
        <v>39</v>
      </c>
      <c r="X5" t="s">
        <v>26</v>
      </c>
      <c r="Y5" t="s">
        <v>24</v>
      </c>
    </row>
    <row r="6" spans="1:25" x14ac:dyDescent="0.35">
      <c r="A6" s="1" t="s">
        <v>40</v>
      </c>
      <c r="B6" s="1" t="s">
        <v>41</v>
      </c>
      <c r="C6" s="1" t="s">
        <v>34</v>
      </c>
      <c r="D6" s="1" t="s">
        <v>35</v>
      </c>
      <c r="E6" s="2" t="s">
        <v>1916</v>
      </c>
      <c r="F6" s="2" t="s">
        <v>1913</v>
      </c>
      <c r="G6" s="6">
        <v>300</v>
      </c>
      <c r="H6" s="8">
        <f t="shared" si="2"/>
        <v>258.62068965517244</v>
      </c>
      <c r="I6" s="2">
        <v>16</v>
      </c>
      <c r="J6" s="2">
        <f t="shared" si="1"/>
        <v>0.73094534666666666</v>
      </c>
      <c r="K6" t="s">
        <v>42</v>
      </c>
      <c r="L6">
        <v>5</v>
      </c>
      <c r="M6">
        <v>69.583100000000002</v>
      </c>
      <c r="N6">
        <v>69.583100000000002</v>
      </c>
      <c r="O6">
        <v>0</v>
      </c>
      <c r="P6">
        <v>347.91550000000001</v>
      </c>
      <c r="Q6">
        <v>5</v>
      </c>
      <c r="R6">
        <v>347.92</v>
      </c>
      <c r="S6" t="s">
        <v>24</v>
      </c>
      <c r="T6" t="s">
        <v>24</v>
      </c>
      <c r="U6" t="s">
        <v>24</v>
      </c>
      <c r="V6" t="s">
        <v>25</v>
      </c>
      <c r="W6" t="s">
        <v>42</v>
      </c>
      <c r="X6" t="s">
        <v>26</v>
      </c>
      <c r="Y6" t="s">
        <v>24</v>
      </c>
    </row>
    <row r="7" spans="1:25" x14ac:dyDescent="0.35">
      <c r="A7" s="1" t="s">
        <v>43</v>
      </c>
      <c r="B7" s="1" t="s">
        <v>44</v>
      </c>
      <c r="C7" s="1" t="s">
        <v>29</v>
      </c>
      <c r="D7" s="1" t="s">
        <v>30</v>
      </c>
      <c r="E7" s="2" t="s">
        <v>1917</v>
      </c>
      <c r="F7" s="2" t="s">
        <v>1913</v>
      </c>
      <c r="G7" s="6">
        <v>300</v>
      </c>
      <c r="H7" s="8">
        <f t="shared" si="2"/>
        <v>258.62068965517244</v>
      </c>
      <c r="I7" s="2">
        <v>16</v>
      </c>
      <c r="J7" s="2">
        <f t="shared" si="1"/>
        <v>0.73087999999999997</v>
      </c>
      <c r="K7" t="s">
        <v>45</v>
      </c>
      <c r="L7">
        <v>1</v>
      </c>
      <c r="M7">
        <v>69.599999999999994</v>
      </c>
      <c r="N7">
        <v>69.599999999999994</v>
      </c>
      <c r="O7">
        <v>0</v>
      </c>
      <c r="P7">
        <v>69.599999999999994</v>
      </c>
      <c r="Q7">
        <v>1</v>
      </c>
      <c r="R7">
        <v>69.599999999999994</v>
      </c>
      <c r="S7" t="s">
        <v>24</v>
      </c>
      <c r="T7" t="s">
        <v>24</v>
      </c>
      <c r="U7" t="s">
        <v>24</v>
      </c>
      <c r="V7" t="s">
        <v>25</v>
      </c>
      <c r="W7" t="s">
        <v>45</v>
      </c>
      <c r="X7" t="s">
        <v>26</v>
      </c>
      <c r="Y7" t="s">
        <v>24</v>
      </c>
    </row>
    <row r="8" spans="1:25" x14ac:dyDescent="0.35">
      <c r="A8" s="1" t="s">
        <v>46</v>
      </c>
      <c r="B8" s="1" t="s">
        <v>47</v>
      </c>
      <c r="C8" s="1" t="s">
        <v>29</v>
      </c>
      <c r="D8" s="1" t="s">
        <v>30</v>
      </c>
      <c r="E8" s="2" t="s">
        <v>1918</v>
      </c>
      <c r="F8" s="2" t="s">
        <v>1913</v>
      </c>
      <c r="G8" s="6">
        <v>380</v>
      </c>
      <c r="H8" s="8">
        <f t="shared" si="2"/>
        <v>327.58620689655174</v>
      </c>
      <c r="I8" s="2">
        <v>16</v>
      </c>
      <c r="J8" s="2">
        <f t="shared" si="1"/>
        <v>0.75731578947368416</v>
      </c>
      <c r="K8" t="s">
        <v>48</v>
      </c>
      <c r="L8">
        <v>4</v>
      </c>
      <c r="M8">
        <v>79.5</v>
      </c>
      <c r="N8">
        <v>79.5</v>
      </c>
      <c r="O8">
        <v>0</v>
      </c>
      <c r="P8">
        <v>318</v>
      </c>
      <c r="Q8">
        <v>4</v>
      </c>
      <c r="R8">
        <v>318</v>
      </c>
      <c r="S8" t="s">
        <v>24</v>
      </c>
      <c r="T8" t="s">
        <v>24</v>
      </c>
      <c r="U8" t="s">
        <v>24</v>
      </c>
      <c r="V8" t="s">
        <v>25</v>
      </c>
      <c r="W8" t="s">
        <v>48</v>
      </c>
      <c r="X8" t="s">
        <v>26</v>
      </c>
      <c r="Y8" t="s">
        <v>24</v>
      </c>
    </row>
    <row r="9" spans="1:25" x14ac:dyDescent="0.35">
      <c r="A9" s="1" t="s">
        <v>49</v>
      </c>
      <c r="B9" s="1" t="s">
        <v>50</v>
      </c>
      <c r="C9" s="1" t="s">
        <v>29</v>
      </c>
      <c r="D9" s="1" t="s">
        <v>30</v>
      </c>
      <c r="E9" s="2" t="s">
        <v>1919</v>
      </c>
      <c r="F9" s="2" t="s">
        <v>1913</v>
      </c>
      <c r="G9" s="6">
        <v>380</v>
      </c>
      <c r="H9" s="8">
        <f t="shared" si="2"/>
        <v>327.58620689655174</v>
      </c>
      <c r="I9" s="2">
        <v>16</v>
      </c>
      <c r="J9" s="2">
        <f t="shared" si="1"/>
        <v>0.75731578947368416</v>
      </c>
      <c r="K9" t="s">
        <v>51</v>
      </c>
      <c r="L9">
        <v>3</v>
      </c>
      <c r="M9">
        <v>79.5</v>
      </c>
      <c r="N9">
        <v>79.5</v>
      </c>
      <c r="O9">
        <v>0</v>
      </c>
      <c r="P9">
        <v>238.5</v>
      </c>
      <c r="Q9">
        <v>3</v>
      </c>
      <c r="R9">
        <v>238.5</v>
      </c>
      <c r="S9" t="s">
        <v>24</v>
      </c>
      <c r="T9" t="s">
        <v>24</v>
      </c>
      <c r="U9" t="s">
        <v>24</v>
      </c>
      <c r="V9" t="s">
        <v>25</v>
      </c>
      <c r="W9" t="s">
        <v>51</v>
      </c>
      <c r="X9" t="s">
        <v>26</v>
      </c>
      <c r="Y9" t="s">
        <v>24</v>
      </c>
    </row>
    <row r="10" spans="1:25" x14ac:dyDescent="0.35">
      <c r="A10" s="1" t="s">
        <v>52</v>
      </c>
      <c r="B10" s="1" t="s">
        <v>53</v>
      </c>
      <c r="C10" s="1" t="s">
        <v>29</v>
      </c>
      <c r="D10" s="1" t="s">
        <v>30</v>
      </c>
      <c r="E10" s="2" t="s">
        <v>1920</v>
      </c>
      <c r="F10" s="2" t="s">
        <v>1913</v>
      </c>
      <c r="G10" s="6">
        <v>300</v>
      </c>
      <c r="H10" s="8">
        <f t="shared" si="2"/>
        <v>258.62068965517244</v>
      </c>
      <c r="I10" s="2">
        <v>16</v>
      </c>
      <c r="J10" s="2">
        <f t="shared" si="1"/>
        <v>0.75175999999999998</v>
      </c>
      <c r="K10" t="s">
        <v>54</v>
      </c>
      <c r="L10">
        <v>3</v>
      </c>
      <c r="M10">
        <v>64.2</v>
      </c>
      <c r="N10">
        <v>64.2</v>
      </c>
      <c r="O10">
        <v>0</v>
      </c>
      <c r="P10">
        <v>192.6</v>
      </c>
      <c r="Q10">
        <v>3</v>
      </c>
      <c r="R10">
        <v>192.6</v>
      </c>
      <c r="S10" t="s">
        <v>24</v>
      </c>
      <c r="T10" t="s">
        <v>24</v>
      </c>
      <c r="U10" t="s">
        <v>24</v>
      </c>
      <c r="V10" t="s">
        <v>25</v>
      </c>
      <c r="W10" t="s">
        <v>54</v>
      </c>
      <c r="X10" t="s">
        <v>26</v>
      </c>
      <c r="Y10" t="s">
        <v>24</v>
      </c>
    </row>
    <row r="11" spans="1:25" x14ac:dyDescent="0.35">
      <c r="A11" s="1" t="s">
        <v>55</v>
      </c>
      <c r="B11" s="1" t="s">
        <v>56</v>
      </c>
      <c r="C11" s="1" t="s">
        <v>29</v>
      </c>
      <c r="D11" s="1" t="s">
        <v>30</v>
      </c>
      <c r="E11" s="2" t="s">
        <v>1921</v>
      </c>
      <c r="F11" s="2" t="s">
        <v>1913</v>
      </c>
      <c r="G11" s="6">
        <v>300</v>
      </c>
      <c r="H11" s="8">
        <f t="shared" si="2"/>
        <v>258.62068965517244</v>
      </c>
      <c r="I11" s="2">
        <v>16</v>
      </c>
      <c r="J11" s="2">
        <f t="shared" si="1"/>
        <v>0.75175999999999998</v>
      </c>
      <c r="K11" t="s">
        <v>57</v>
      </c>
      <c r="L11">
        <v>6</v>
      </c>
      <c r="M11">
        <v>64.2</v>
      </c>
      <c r="N11">
        <v>64.2</v>
      </c>
      <c r="O11">
        <v>0</v>
      </c>
      <c r="P11">
        <v>385.2</v>
      </c>
      <c r="Q11">
        <v>6</v>
      </c>
      <c r="R11">
        <v>385.2</v>
      </c>
      <c r="S11" t="s">
        <v>24</v>
      </c>
      <c r="T11" t="s">
        <v>24</v>
      </c>
      <c r="U11" t="s">
        <v>24</v>
      </c>
      <c r="V11" t="s">
        <v>25</v>
      </c>
      <c r="W11" t="s">
        <v>57</v>
      </c>
      <c r="X11" t="s">
        <v>26</v>
      </c>
      <c r="Y11" t="s">
        <v>24</v>
      </c>
    </row>
    <row r="12" spans="1:25" x14ac:dyDescent="0.35">
      <c r="A12" s="1" t="s">
        <v>58</v>
      </c>
      <c r="B12" s="1" t="s">
        <v>59</v>
      </c>
      <c r="C12" s="1" t="s">
        <v>60</v>
      </c>
      <c r="D12" s="1" t="s">
        <v>61</v>
      </c>
      <c r="E12" s="2" t="s">
        <v>1922</v>
      </c>
      <c r="F12" s="2" t="s">
        <v>1911</v>
      </c>
      <c r="G12" s="6">
        <v>780</v>
      </c>
      <c r="H12" s="8">
        <f t="shared" si="2"/>
        <v>672.41379310344837</v>
      </c>
      <c r="I12" s="2">
        <v>16</v>
      </c>
      <c r="J12" s="2">
        <f t="shared" si="1"/>
        <v>0.69909897435897439</v>
      </c>
      <c r="K12" t="s">
        <v>62</v>
      </c>
      <c r="L12">
        <v>1</v>
      </c>
      <c r="M12">
        <v>202.33</v>
      </c>
      <c r="N12">
        <v>202.33</v>
      </c>
      <c r="O12">
        <v>0</v>
      </c>
      <c r="P12">
        <v>202.33</v>
      </c>
      <c r="Q12">
        <v>1</v>
      </c>
      <c r="R12">
        <v>202.33</v>
      </c>
      <c r="S12" t="s">
        <v>24</v>
      </c>
      <c r="T12" t="s">
        <v>24</v>
      </c>
      <c r="U12" t="s">
        <v>24</v>
      </c>
      <c r="V12" t="s">
        <v>25</v>
      </c>
      <c r="W12" t="s">
        <v>62</v>
      </c>
      <c r="X12" t="s">
        <v>26</v>
      </c>
      <c r="Y12" t="s">
        <v>24</v>
      </c>
    </row>
    <row r="13" spans="1:25" x14ac:dyDescent="0.35">
      <c r="A13" s="1" t="s">
        <v>63</v>
      </c>
      <c r="B13" s="1" t="s">
        <v>64</v>
      </c>
      <c r="C13" s="1" t="s">
        <v>60</v>
      </c>
      <c r="D13" s="1" t="s">
        <v>61</v>
      </c>
      <c r="E13" s="2" t="s">
        <v>1923</v>
      </c>
      <c r="F13" s="2" t="s">
        <v>1911</v>
      </c>
      <c r="G13" s="6">
        <v>480</v>
      </c>
      <c r="H13" s="8">
        <f t="shared" si="2"/>
        <v>413.79310344827587</v>
      </c>
      <c r="I13" s="2">
        <v>16</v>
      </c>
      <c r="J13" s="2">
        <f t="shared" si="1"/>
        <v>0.70308833333333332</v>
      </c>
      <c r="K13" t="s">
        <v>65</v>
      </c>
      <c r="L13">
        <v>1</v>
      </c>
      <c r="M13">
        <v>122.86</v>
      </c>
      <c r="N13">
        <v>122.86</v>
      </c>
      <c r="O13">
        <v>0</v>
      </c>
      <c r="P13">
        <v>122.86</v>
      </c>
      <c r="Q13">
        <v>1</v>
      </c>
      <c r="R13">
        <v>122.86</v>
      </c>
      <c r="S13" t="s">
        <v>24</v>
      </c>
      <c r="T13" t="s">
        <v>24</v>
      </c>
      <c r="U13" t="s">
        <v>24</v>
      </c>
      <c r="V13" t="s">
        <v>25</v>
      </c>
      <c r="W13" t="s">
        <v>65</v>
      </c>
      <c r="X13" t="s">
        <v>26</v>
      </c>
      <c r="Y13" t="s">
        <v>24</v>
      </c>
    </row>
    <row r="14" spans="1:25" x14ac:dyDescent="0.35">
      <c r="A14" s="1" t="s">
        <v>66</v>
      </c>
      <c r="B14" s="1" t="s">
        <v>67</v>
      </c>
      <c r="C14" s="1" t="s">
        <v>60</v>
      </c>
      <c r="D14" s="1" t="s">
        <v>61</v>
      </c>
      <c r="E14" s="2" t="s">
        <v>1923</v>
      </c>
      <c r="F14" s="2" t="s">
        <v>1911</v>
      </c>
      <c r="G14" s="6">
        <v>480</v>
      </c>
      <c r="H14" s="8">
        <f t="shared" si="2"/>
        <v>413.79310344827587</v>
      </c>
      <c r="I14" s="2">
        <v>16</v>
      </c>
      <c r="J14" s="2">
        <f t="shared" si="1"/>
        <v>0.70308833333333332</v>
      </c>
      <c r="K14" t="s">
        <v>68</v>
      </c>
      <c r="L14">
        <v>1</v>
      </c>
      <c r="M14">
        <v>122.86</v>
      </c>
      <c r="N14">
        <v>122.86</v>
      </c>
      <c r="O14">
        <v>0</v>
      </c>
      <c r="P14">
        <v>122.86</v>
      </c>
      <c r="Q14">
        <v>1</v>
      </c>
      <c r="R14">
        <v>122.86</v>
      </c>
      <c r="S14" t="s">
        <v>24</v>
      </c>
      <c r="T14" t="s">
        <v>24</v>
      </c>
      <c r="U14" t="s">
        <v>24</v>
      </c>
      <c r="V14" t="s">
        <v>25</v>
      </c>
      <c r="W14" t="s">
        <v>68</v>
      </c>
      <c r="X14" t="s">
        <v>26</v>
      </c>
      <c r="Y14" t="s">
        <v>24</v>
      </c>
    </row>
    <row r="15" spans="1:25" x14ac:dyDescent="0.35">
      <c r="A15" s="1" t="s">
        <v>69</v>
      </c>
      <c r="B15" s="1" t="s">
        <v>70</v>
      </c>
      <c r="C15" s="1" t="s">
        <v>60</v>
      </c>
      <c r="D15" s="1" t="s">
        <v>61</v>
      </c>
      <c r="E15" s="2" t="s">
        <v>1923</v>
      </c>
      <c r="F15" s="2" t="s">
        <v>1911</v>
      </c>
      <c r="G15" s="6">
        <v>480</v>
      </c>
      <c r="H15" s="8">
        <f t="shared" si="2"/>
        <v>413.79310344827587</v>
      </c>
      <c r="I15" s="2">
        <v>16</v>
      </c>
      <c r="J15" s="2">
        <f t="shared" si="1"/>
        <v>0.70308833333333332</v>
      </c>
      <c r="K15" t="s">
        <v>71</v>
      </c>
      <c r="L15">
        <v>1</v>
      </c>
      <c r="M15">
        <v>122.86</v>
      </c>
      <c r="N15">
        <v>122.86</v>
      </c>
      <c r="O15">
        <v>0</v>
      </c>
      <c r="P15">
        <v>122.86</v>
      </c>
      <c r="Q15">
        <v>1</v>
      </c>
      <c r="R15">
        <v>122.86</v>
      </c>
      <c r="S15" t="s">
        <v>24</v>
      </c>
      <c r="T15" t="s">
        <v>24</v>
      </c>
      <c r="U15" t="s">
        <v>24</v>
      </c>
      <c r="V15" t="s">
        <v>25</v>
      </c>
      <c r="W15" t="s">
        <v>71</v>
      </c>
      <c r="X15" t="s">
        <v>26</v>
      </c>
      <c r="Y15" t="s">
        <v>24</v>
      </c>
    </row>
    <row r="16" spans="1:25" x14ac:dyDescent="0.35">
      <c r="A16" s="1" t="s">
        <v>72</v>
      </c>
      <c r="B16" s="1" t="s">
        <v>73</v>
      </c>
      <c r="C16" s="1" t="s">
        <v>60</v>
      </c>
      <c r="D16" s="1" t="s">
        <v>61</v>
      </c>
      <c r="E16" s="2" t="s">
        <v>1924</v>
      </c>
      <c r="F16" s="2" t="s">
        <v>1911</v>
      </c>
      <c r="G16" s="6">
        <v>320</v>
      </c>
      <c r="H16" s="8">
        <f t="shared" si="2"/>
        <v>275.86206896551727</v>
      </c>
      <c r="I16" s="2">
        <v>16</v>
      </c>
      <c r="J16" s="2">
        <f t="shared" si="1"/>
        <v>0.70735375</v>
      </c>
      <c r="K16" t="s">
        <v>74</v>
      </c>
      <c r="L16">
        <v>1</v>
      </c>
      <c r="M16">
        <v>80.73</v>
      </c>
      <c r="N16">
        <v>80.73</v>
      </c>
      <c r="O16">
        <v>0</v>
      </c>
      <c r="P16">
        <v>80.73</v>
      </c>
      <c r="Q16">
        <v>1</v>
      </c>
      <c r="R16">
        <v>80.73</v>
      </c>
      <c r="S16" t="s">
        <v>24</v>
      </c>
      <c r="T16" t="s">
        <v>24</v>
      </c>
      <c r="U16" t="s">
        <v>24</v>
      </c>
      <c r="V16" t="s">
        <v>25</v>
      </c>
      <c r="W16" t="s">
        <v>74</v>
      </c>
      <c r="X16" t="s">
        <v>26</v>
      </c>
      <c r="Y16" t="s">
        <v>24</v>
      </c>
    </row>
    <row r="17" spans="1:25" x14ac:dyDescent="0.35">
      <c r="A17" s="1" t="s">
        <v>75</v>
      </c>
      <c r="B17" s="1" t="s">
        <v>76</v>
      </c>
      <c r="C17" s="1" t="s">
        <v>77</v>
      </c>
      <c r="D17" s="1" t="s">
        <v>78</v>
      </c>
      <c r="E17" s="2" t="s">
        <v>1925</v>
      </c>
      <c r="F17" s="2" t="s">
        <v>1911</v>
      </c>
      <c r="G17" s="6">
        <v>1980</v>
      </c>
      <c r="H17" s="8">
        <f t="shared" si="2"/>
        <v>1706.8965517241381</v>
      </c>
      <c r="I17" s="2">
        <v>16</v>
      </c>
      <c r="J17" s="2">
        <f t="shared" si="1"/>
        <v>0.69593939393939397</v>
      </c>
      <c r="K17" t="s">
        <v>79</v>
      </c>
      <c r="L17">
        <v>4</v>
      </c>
      <c r="M17">
        <v>519</v>
      </c>
      <c r="N17">
        <v>519</v>
      </c>
      <c r="O17">
        <v>0</v>
      </c>
      <c r="P17">
        <v>2076</v>
      </c>
      <c r="Q17">
        <v>4</v>
      </c>
      <c r="R17">
        <v>2076</v>
      </c>
      <c r="S17" t="s">
        <v>24</v>
      </c>
      <c r="T17" t="s">
        <v>24</v>
      </c>
      <c r="U17" t="s">
        <v>24</v>
      </c>
      <c r="V17" t="s">
        <v>25</v>
      </c>
      <c r="W17" t="s">
        <v>79</v>
      </c>
      <c r="X17" t="s">
        <v>26</v>
      </c>
      <c r="Y17" t="s">
        <v>24</v>
      </c>
    </row>
    <row r="18" spans="1:25" x14ac:dyDescent="0.35">
      <c r="A18" s="1" t="s">
        <v>80</v>
      </c>
      <c r="B18" s="1" t="s">
        <v>81</v>
      </c>
      <c r="C18" s="1" t="s">
        <v>77</v>
      </c>
      <c r="D18" s="1" t="s">
        <v>78</v>
      </c>
      <c r="E18" s="2" t="s">
        <v>1926</v>
      </c>
      <c r="F18" s="2" t="s">
        <v>1911</v>
      </c>
      <c r="G18" s="6">
        <v>2380</v>
      </c>
      <c r="H18" s="8">
        <f t="shared" si="2"/>
        <v>2051.7241379310344</v>
      </c>
      <c r="I18" s="2">
        <v>16</v>
      </c>
      <c r="J18" s="2">
        <f t="shared" si="1"/>
        <v>0.68806722689075628</v>
      </c>
      <c r="K18" t="s">
        <v>82</v>
      </c>
      <c r="L18">
        <v>2</v>
      </c>
      <c r="M18">
        <v>640</v>
      </c>
      <c r="N18">
        <v>640</v>
      </c>
      <c r="O18">
        <v>0</v>
      </c>
      <c r="P18">
        <v>1280</v>
      </c>
      <c r="Q18">
        <v>2</v>
      </c>
      <c r="R18">
        <v>1280</v>
      </c>
      <c r="S18" t="s">
        <v>24</v>
      </c>
      <c r="T18" t="s">
        <v>24</v>
      </c>
      <c r="U18" t="s">
        <v>24</v>
      </c>
      <c r="V18" t="s">
        <v>25</v>
      </c>
      <c r="W18" t="s">
        <v>82</v>
      </c>
      <c r="X18" t="s">
        <v>26</v>
      </c>
      <c r="Y18" t="s">
        <v>24</v>
      </c>
    </row>
    <row r="19" spans="1:25" x14ac:dyDescent="0.35">
      <c r="A19" s="1" t="s">
        <v>83</v>
      </c>
      <c r="B19" s="1" t="s">
        <v>84</v>
      </c>
      <c r="C19" s="1" t="s">
        <v>77</v>
      </c>
      <c r="D19" s="1" t="s">
        <v>78</v>
      </c>
      <c r="E19" s="2" t="s">
        <v>1927</v>
      </c>
      <c r="F19" s="2" t="s">
        <v>1911</v>
      </c>
      <c r="G19" s="6">
        <v>1980</v>
      </c>
      <c r="H19" s="8">
        <f t="shared" si="2"/>
        <v>1706.8965517241381</v>
      </c>
      <c r="I19" s="2">
        <v>16</v>
      </c>
      <c r="J19" s="2">
        <f t="shared" si="1"/>
        <v>0.66254545454545455</v>
      </c>
      <c r="K19" t="s">
        <v>85</v>
      </c>
      <c r="L19">
        <v>2</v>
      </c>
      <c r="M19">
        <v>576</v>
      </c>
      <c r="N19">
        <v>576</v>
      </c>
      <c r="O19">
        <v>0</v>
      </c>
      <c r="P19">
        <v>1152</v>
      </c>
      <c r="Q19">
        <v>2</v>
      </c>
      <c r="R19">
        <v>1152</v>
      </c>
      <c r="S19" t="s">
        <v>24</v>
      </c>
      <c r="T19" t="s">
        <v>24</v>
      </c>
      <c r="U19" t="s">
        <v>24</v>
      </c>
      <c r="V19" t="s">
        <v>25</v>
      </c>
      <c r="W19" t="s">
        <v>85</v>
      </c>
      <c r="X19" t="s">
        <v>26</v>
      </c>
      <c r="Y19" t="s">
        <v>24</v>
      </c>
    </row>
    <row r="20" spans="1:25" x14ac:dyDescent="0.35">
      <c r="A20" s="1" t="s">
        <v>86</v>
      </c>
      <c r="B20" s="1" t="s">
        <v>87</v>
      </c>
      <c r="C20" s="1" t="s">
        <v>29</v>
      </c>
      <c r="D20" s="1" t="s">
        <v>30</v>
      </c>
      <c r="E20" s="2" t="s">
        <v>1928</v>
      </c>
      <c r="F20" s="2" t="s">
        <v>1913</v>
      </c>
      <c r="G20" s="6">
        <v>300</v>
      </c>
      <c r="H20" s="8">
        <f t="shared" si="2"/>
        <v>258.62068965517244</v>
      </c>
      <c r="I20" s="2">
        <v>16</v>
      </c>
      <c r="J20" s="2">
        <f t="shared" si="1"/>
        <v>0.73087999999999997</v>
      </c>
      <c r="K20" t="s">
        <v>88</v>
      </c>
      <c r="L20">
        <v>3</v>
      </c>
      <c r="M20">
        <v>69.599999999999994</v>
      </c>
      <c r="N20">
        <v>69.599999999999994</v>
      </c>
      <c r="O20">
        <v>0</v>
      </c>
      <c r="P20">
        <v>208.8</v>
      </c>
      <c r="Q20">
        <v>3</v>
      </c>
      <c r="R20">
        <v>208.8</v>
      </c>
      <c r="S20" t="s">
        <v>24</v>
      </c>
      <c r="T20" t="s">
        <v>24</v>
      </c>
      <c r="U20" t="s">
        <v>24</v>
      </c>
      <c r="V20" t="s">
        <v>25</v>
      </c>
      <c r="W20" t="s">
        <v>88</v>
      </c>
      <c r="X20" t="s">
        <v>26</v>
      </c>
      <c r="Y20" t="s">
        <v>24</v>
      </c>
    </row>
    <row r="21" spans="1:25" x14ac:dyDescent="0.35">
      <c r="A21" s="1" t="s">
        <v>32</v>
      </c>
      <c r="B21" s="1" t="s">
        <v>33</v>
      </c>
      <c r="C21" s="1" t="s">
        <v>29</v>
      </c>
      <c r="D21" s="1" t="s">
        <v>30</v>
      </c>
      <c r="E21" s="2" t="s">
        <v>1914</v>
      </c>
      <c r="F21" s="2" t="s">
        <v>1913</v>
      </c>
      <c r="G21" s="6">
        <v>300</v>
      </c>
      <c r="H21" s="8">
        <f t="shared" si="2"/>
        <v>258.62068965517244</v>
      </c>
      <c r="I21" s="2">
        <v>16</v>
      </c>
      <c r="J21" s="2">
        <f t="shared" si="1"/>
        <v>0.73087999999999997</v>
      </c>
      <c r="K21" t="s">
        <v>89</v>
      </c>
      <c r="L21">
        <v>6</v>
      </c>
      <c r="M21">
        <v>69.599999999999994</v>
      </c>
      <c r="N21">
        <v>69.599999999999994</v>
      </c>
      <c r="O21">
        <v>0</v>
      </c>
      <c r="P21">
        <v>417.6</v>
      </c>
      <c r="Q21">
        <v>6</v>
      </c>
      <c r="R21">
        <v>417.6</v>
      </c>
      <c r="S21" t="s">
        <v>24</v>
      </c>
      <c r="T21" t="s">
        <v>24</v>
      </c>
      <c r="U21" t="s">
        <v>24</v>
      </c>
      <c r="V21" t="s">
        <v>25</v>
      </c>
      <c r="W21" t="s">
        <v>89</v>
      </c>
      <c r="X21" t="s">
        <v>26</v>
      </c>
      <c r="Y21" t="s">
        <v>24</v>
      </c>
    </row>
    <row r="22" spans="1:25" x14ac:dyDescent="0.35">
      <c r="A22" s="1" t="s">
        <v>90</v>
      </c>
      <c r="B22" s="1" t="s">
        <v>91</v>
      </c>
      <c r="C22" s="1" t="s">
        <v>34</v>
      </c>
      <c r="D22" s="1" t="s">
        <v>35</v>
      </c>
      <c r="E22" s="2" t="s">
        <v>1929</v>
      </c>
      <c r="F22" s="2" t="s">
        <v>1913</v>
      </c>
      <c r="G22" s="6">
        <v>380</v>
      </c>
      <c r="H22" s="8">
        <f t="shared" si="2"/>
        <v>327.58620689655174</v>
      </c>
      <c r="I22" s="2">
        <v>16</v>
      </c>
      <c r="J22" s="2">
        <f t="shared" si="1"/>
        <v>0.75768973684210528</v>
      </c>
      <c r="K22" t="s">
        <v>92</v>
      </c>
      <c r="L22">
        <v>2</v>
      </c>
      <c r="M22">
        <v>79.377499999999998</v>
      </c>
      <c r="N22">
        <v>79.377399999999994</v>
      </c>
      <c r="O22">
        <v>0</v>
      </c>
      <c r="P22">
        <v>158.755</v>
      </c>
      <c r="Q22">
        <v>2</v>
      </c>
      <c r="R22">
        <v>158.76</v>
      </c>
      <c r="S22" t="s">
        <v>24</v>
      </c>
      <c r="T22" t="s">
        <v>24</v>
      </c>
      <c r="U22" t="s">
        <v>24</v>
      </c>
      <c r="V22" t="s">
        <v>25</v>
      </c>
      <c r="W22" t="s">
        <v>92</v>
      </c>
      <c r="X22" t="s">
        <v>26</v>
      </c>
      <c r="Y22" t="s">
        <v>24</v>
      </c>
    </row>
    <row r="23" spans="1:25" x14ac:dyDescent="0.35">
      <c r="A23" s="1" t="s">
        <v>93</v>
      </c>
      <c r="B23" s="1" t="s">
        <v>94</v>
      </c>
      <c r="C23" s="1" t="s">
        <v>34</v>
      </c>
      <c r="D23" s="1" t="s">
        <v>35</v>
      </c>
      <c r="E23" s="2" t="s">
        <v>1930</v>
      </c>
      <c r="F23" s="2" t="s">
        <v>1913</v>
      </c>
      <c r="G23" s="6">
        <v>300</v>
      </c>
      <c r="H23" s="8">
        <f t="shared" si="2"/>
        <v>258.62068965517244</v>
      </c>
      <c r="I23" s="2">
        <v>16</v>
      </c>
      <c r="J23" s="2">
        <f t="shared" si="1"/>
        <v>0.73087999999999997</v>
      </c>
      <c r="K23" t="s">
        <v>95</v>
      </c>
      <c r="L23">
        <v>1</v>
      </c>
      <c r="M23">
        <v>69.599999999999994</v>
      </c>
      <c r="N23">
        <v>69.599999999999994</v>
      </c>
      <c r="O23">
        <v>0</v>
      </c>
      <c r="P23">
        <v>69.599999999999994</v>
      </c>
      <c r="Q23">
        <v>1</v>
      </c>
      <c r="R23">
        <v>69.599999999999994</v>
      </c>
      <c r="S23" t="s">
        <v>24</v>
      </c>
      <c r="T23" t="s">
        <v>24</v>
      </c>
      <c r="U23" t="s">
        <v>24</v>
      </c>
      <c r="V23" t="s">
        <v>25</v>
      </c>
      <c r="W23" t="s">
        <v>95</v>
      </c>
      <c r="X23" t="s">
        <v>26</v>
      </c>
      <c r="Y23" t="s">
        <v>24</v>
      </c>
    </row>
    <row r="24" spans="1:25" x14ac:dyDescent="0.35">
      <c r="A24" s="1" t="s">
        <v>96</v>
      </c>
      <c r="B24" s="1" t="s">
        <v>97</v>
      </c>
      <c r="C24" s="1" t="s">
        <v>29</v>
      </c>
      <c r="D24" s="1" t="s">
        <v>30</v>
      </c>
      <c r="E24" s="2" t="s">
        <v>1931</v>
      </c>
      <c r="F24" s="2" t="s">
        <v>1913</v>
      </c>
      <c r="G24" s="6">
        <v>300</v>
      </c>
      <c r="H24" s="8">
        <f t="shared" si="2"/>
        <v>258.62068965517244</v>
      </c>
      <c r="I24" s="2">
        <v>16</v>
      </c>
      <c r="J24" s="2">
        <f t="shared" si="1"/>
        <v>0.73087999999999997</v>
      </c>
      <c r="K24" t="s">
        <v>98</v>
      </c>
      <c r="L24">
        <v>3</v>
      </c>
      <c r="M24">
        <v>69.599999999999994</v>
      </c>
      <c r="N24">
        <v>69.599999999999994</v>
      </c>
      <c r="O24">
        <v>0</v>
      </c>
      <c r="P24">
        <v>208.8</v>
      </c>
      <c r="Q24">
        <v>3</v>
      </c>
      <c r="R24">
        <v>208.8</v>
      </c>
      <c r="S24" t="s">
        <v>24</v>
      </c>
      <c r="T24" t="s">
        <v>24</v>
      </c>
      <c r="U24" t="s">
        <v>24</v>
      </c>
      <c r="V24" t="s">
        <v>25</v>
      </c>
      <c r="W24" t="s">
        <v>98</v>
      </c>
      <c r="X24" t="s">
        <v>26</v>
      </c>
      <c r="Y24" t="s">
        <v>24</v>
      </c>
    </row>
    <row r="25" spans="1:25" x14ac:dyDescent="0.35">
      <c r="A25" s="1" t="s">
        <v>99</v>
      </c>
      <c r="B25" s="1" t="s">
        <v>100</v>
      </c>
      <c r="C25" s="1" t="s">
        <v>29</v>
      </c>
      <c r="D25" s="1" t="s">
        <v>30</v>
      </c>
      <c r="E25" s="2" t="s">
        <v>1932</v>
      </c>
      <c r="F25" s="2" t="s">
        <v>1913</v>
      </c>
      <c r="G25" s="6">
        <v>300</v>
      </c>
      <c r="H25" s="8">
        <f t="shared" si="2"/>
        <v>258.62068965517244</v>
      </c>
      <c r="I25" s="2">
        <v>16</v>
      </c>
      <c r="J25" s="2">
        <f t="shared" si="1"/>
        <v>0.73087999999999997</v>
      </c>
      <c r="K25" t="s">
        <v>101</v>
      </c>
      <c r="L25">
        <v>4</v>
      </c>
      <c r="M25">
        <v>69.599999999999994</v>
      </c>
      <c r="N25">
        <v>69.599999999999994</v>
      </c>
      <c r="O25">
        <v>0</v>
      </c>
      <c r="P25">
        <v>278.39999999999998</v>
      </c>
      <c r="Q25">
        <v>4</v>
      </c>
      <c r="R25">
        <v>278.39999999999998</v>
      </c>
      <c r="S25" t="s">
        <v>24</v>
      </c>
      <c r="T25" t="s">
        <v>24</v>
      </c>
      <c r="U25" t="s">
        <v>24</v>
      </c>
      <c r="V25" t="s">
        <v>25</v>
      </c>
      <c r="W25" t="s">
        <v>101</v>
      </c>
      <c r="X25" t="s">
        <v>26</v>
      </c>
      <c r="Y25" t="s">
        <v>24</v>
      </c>
    </row>
    <row r="26" spans="1:25" x14ac:dyDescent="0.35">
      <c r="A26" s="1" t="s">
        <v>102</v>
      </c>
      <c r="B26" s="1" t="s">
        <v>103</v>
      </c>
      <c r="C26" s="1" t="s">
        <v>29</v>
      </c>
      <c r="D26" s="1" t="s">
        <v>30</v>
      </c>
      <c r="E26" s="2" t="s">
        <v>1933</v>
      </c>
      <c r="F26" s="2" t="s">
        <v>1913</v>
      </c>
      <c r="G26" s="6">
        <v>300</v>
      </c>
      <c r="H26" s="8">
        <f t="shared" si="2"/>
        <v>258.62068965517244</v>
      </c>
      <c r="I26" s="2">
        <v>16</v>
      </c>
      <c r="J26" s="2">
        <f t="shared" si="1"/>
        <v>0.75175999999999998</v>
      </c>
      <c r="K26" t="s">
        <v>104</v>
      </c>
      <c r="L26">
        <v>5</v>
      </c>
      <c r="M26">
        <v>64.2</v>
      </c>
      <c r="N26">
        <v>64.2</v>
      </c>
      <c r="O26">
        <v>0</v>
      </c>
      <c r="P26">
        <v>321</v>
      </c>
      <c r="Q26">
        <v>5</v>
      </c>
      <c r="R26">
        <v>321</v>
      </c>
      <c r="S26" t="s">
        <v>24</v>
      </c>
      <c r="T26" t="s">
        <v>24</v>
      </c>
      <c r="U26" t="s">
        <v>24</v>
      </c>
      <c r="V26" t="s">
        <v>25</v>
      </c>
      <c r="W26" t="s">
        <v>104</v>
      </c>
      <c r="X26" t="s">
        <v>26</v>
      </c>
      <c r="Y26" t="s">
        <v>24</v>
      </c>
    </row>
    <row r="27" spans="1:25" x14ac:dyDescent="0.35">
      <c r="A27" s="1" t="s">
        <v>105</v>
      </c>
      <c r="B27" s="1" t="s">
        <v>106</v>
      </c>
      <c r="C27" s="1" t="s">
        <v>77</v>
      </c>
      <c r="D27" s="1" t="s">
        <v>78</v>
      </c>
      <c r="E27" s="2" t="s">
        <v>1934</v>
      </c>
      <c r="F27" s="2" t="s">
        <v>1911</v>
      </c>
      <c r="G27" s="6">
        <v>1580</v>
      </c>
      <c r="H27" s="8">
        <f t="shared" si="2"/>
        <v>1362.0689655172414</v>
      </c>
      <c r="I27" s="2">
        <v>16</v>
      </c>
      <c r="J27" s="2">
        <f t="shared" si="1"/>
        <v>0.68650632911392406</v>
      </c>
      <c r="K27" t="s">
        <v>107</v>
      </c>
      <c r="L27">
        <v>2</v>
      </c>
      <c r="M27">
        <v>427</v>
      </c>
      <c r="N27">
        <v>427</v>
      </c>
      <c r="O27">
        <v>0</v>
      </c>
      <c r="P27">
        <v>854</v>
      </c>
      <c r="Q27">
        <v>2</v>
      </c>
      <c r="R27">
        <v>854</v>
      </c>
      <c r="S27" t="s">
        <v>24</v>
      </c>
      <c r="T27" t="s">
        <v>24</v>
      </c>
      <c r="U27" t="s">
        <v>24</v>
      </c>
      <c r="V27" t="s">
        <v>25</v>
      </c>
      <c r="W27" t="s">
        <v>107</v>
      </c>
      <c r="X27" t="s">
        <v>26</v>
      </c>
      <c r="Y27" t="s">
        <v>24</v>
      </c>
    </row>
    <row r="28" spans="1:25" x14ac:dyDescent="0.35">
      <c r="A28" s="1" t="s">
        <v>108</v>
      </c>
      <c r="B28" s="1" t="s">
        <v>109</v>
      </c>
      <c r="C28" s="1" t="s">
        <v>77</v>
      </c>
      <c r="D28" s="1" t="s">
        <v>78</v>
      </c>
      <c r="E28" s="2" t="s">
        <v>1935</v>
      </c>
      <c r="F28" s="2" t="s">
        <v>1911</v>
      </c>
      <c r="G28" s="6">
        <v>2580</v>
      </c>
      <c r="H28" s="8">
        <f t="shared" si="2"/>
        <v>2224.1379310344828</v>
      </c>
      <c r="I28" s="2">
        <v>16</v>
      </c>
      <c r="J28" s="2">
        <f t="shared" si="1"/>
        <v>0.69875968992248061</v>
      </c>
      <c r="K28" t="s">
        <v>110</v>
      </c>
      <c r="L28">
        <v>2</v>
      </c>
      <c r="M28">
        <v>670</v>
      </c>
      <c r="N28">
        <v>670</v>
      </c>
      <c r="O28">
        <v>0</v>
      </c>
      <c r="P28">
        <v>1340</v>
      </c>
      <c r="Q28">
        <v>2</v>
      </c>
      <c r="R28">
        <v>1340</v>
      </c>
      <c r="S28" t="s">
        <v>24</v>
      </c>
      <c r="T28" t="s">
        <v>24</v>
      </c>
      <c r="U28" t="s">
        <v>24</v>
      </c>
      <c r="V28" t="s">
        <v>25</v>
      </c>
      <c r="W28" t="s">
        <v>110</v>
      </c>
      <c r="X28" t="s">
        <v>26</v>
      </c>
      <c r="Y28" t="s">
        <v>24</v>
      </c>
    </row>
    <row r="29" spans="1:25" x14ac:dyDescent="0.35">
      <c r="A29" s="1" t="s">
        <v>111</v>
      </c>
      <c r="B29" s="1" t="s">
        <v>112</v>
      </c>
      <c r="C29" s="1" t="s">
        <v>34</v>
      </c>
      <c r="D29" s="1" t="s">
        <v>35</v>
      </c>
      <c r="E29" s="2" t="s">
        <v>1936</v>
      </c>
      <c r="F29" s="2" t="s">
        <v>1913</v>
      </c>
      <c r="G29" s="6">
        <v>300</v>
      </c>
      <c r="H29" s="8">
        <f t="shared" si="2"/>
        <v>258.62068965517244</v>
      </c>
      <c r="I29" s="2">
        <v>16</v>
      </c>
      <c r="J29" s="2">
        <f t="shared" si="1"/>
        <v>0.6926000000000001</v>
      </c>
      <c r="K29" t="s">
        <v>113</v>
      </c>
      <c r="L29">
        <v>3</v>
      </c>
      <c r="M29">
        <v>79.5</v>
      </c>
      <c r="N29">
        <v>79.5</v>
      </c>
      <c r="O29">
        <v>0</v>
      </c>
      <c r="P29">
        <v>238.5</v>
      </c>
      <c r="Q29">
        <v>3</v>
      </c>
      <c r="R29">
        <v>238.5</v>
      </c>
      <c r="S29" t="s">
        <v>24</v>
      </c>
      <c r="T29" t="s">
        <v>24</v>
      </c>
      <c r="U29" t="s">
        <v>24</v>
      </c>
      <c r="V29" t="s">
        <v>25</v>
      </c>
      <c r="W29" t="s">
        <v>113</v>
      </c>
      <c r="X29" t="s">
        <v>26</v>
      </c>
      <c r="Y29" t="s">
        <v>24</v>
      </c>
    </row>
    <row r="30" spans="1:25" x14ac:dyDescent="0.35">
      <c r="A30" s="1" t="s">
        <v>114</v>
      </c>
      <c r="B30" s="1" t="s">
        <v>115</v>
      </c>
      <c r="C30" s="1" t="s">
        <v>34</v>
      </c>
      <c r="D30" s="1" t="s">
        <v>35</v>
      </c>
      <c r="E30" s="2" t="s">
        <v>1937</v>
      </c>
      <c r="F30" s="2" t="s">
        <v>1913</v>
      </c>
      <c r="G30" s="6">
        <v>300</v>
      </c>
      <c r="H30" s="8">
        <f t="shared" si="2"/>
        <v>258.62068965517244</v>
      </c>
      <c r="I30" s="2">
        <v>16</v>
      </c>
      <c r="J30" s="2">
        <f t="shared" si="1"/>
        <v>0.73087999999999997</v>
      </c>
      <c r="K30" t="s">
        <v>116</v>
      </c>
      <c r="L30">
        <v>4</v>
      </c>
      <c r="M30">
        <v>69.599999999999994</v>
      </c>
      <c r="N30">
        <v>69.599999999999994</v>
      </c>
      <c r="O30">
        <v>0</v>
      </c>
      <c r="P30">
        <v>278.39999999999998</v>
      </c>
      <c r="Q30">
        <v>4</v>
      </c>
      <c r="R30">
        <v>278.39999999999998</v>
      </c>
      <c r="S30" t="s">
        <v>24</v>
      </c>
      <c r="T30" t="s">
        <v>24</v>
      </c>
      <c r="U30" t="s">
        <v>24</v>
      </c>
      <c r="V30" t="s">
        <v>25</v>
      </c>
      <c r="W30" t="s">
        <v>116</v>
      </c>
      <c r="X30" t="s">
        <v>26</v>
      </c>
      <c r="Y30" t="s">
        <v>24</v>
      </c>
    </row>
    <row r="31" spans="1:25" x14ac:dyDescent="0.35">
      <c r="A31" s="1" t="s">
        <v>117</v>
      </c>
      <c r="B31" s="1" t="s">
        <v>118</v>
      </c>
      <c r="C31" s="1" t="s">
        <v>29</v>
      </c>
      <c r="D31" s="1" t="s">
        <v>30</v>
      </c>
      <c r="E31" s="2" t="s">
        <v>1938</v>
      </c>
      <c r="F31" s="2" t="s">
        <v>1913</v>
      </c>
      <c r="G31" s="6">
        <v>300</v>
      </c>
      <c r="H31" s="8">
        <f t="shared" si="2"/>
        <v>258.62068965517244</v>
      </c>
      <c r="I31" s="2">
        <v>16</v>
      </c>
      <c r="J31" s="2">
        <f t="shared" si="1"/>
        <v>0.73088154666666671</v>
      </c>
      <c r="K31" t="s">
        <v>119</v>
      </c>
      <c r="L31">
        <v>4</v>
      </c>
      <c r="M31">
        <v>69.599599999999995</v>
      </c>
      <c r="N31">
        <v>69.599599999999995</v>
      </c>
      <c r="O31">
        <v>0</v>
      </c>
      <c r="P31">
        <v>278.39839999999998</v>
      </c>
      <c r="Q31">
        <v>4</v>
      </c>
      <c r="R31">
        <v>278.39999999999998</v>
      </c>
      <c r="S31" t="s">
        <v>24</v>
      </c>
      <c r="T31" t="s">
        <v>24</v>
      </c>
      <c r="U31" t="s">
        <v>24</v>
      </c>
      <c r="V31" t="s">
        <v>25</v>
      </c>
      <c r="W31" t="s">
        <v>119</v>
      </c>
      <c r="X31" t="s">
        <v>26</v>
      </c>
      <c r="Y31" t="s">
        <v>24</v>
      </c>
    </row>
    <row r="32" spans="1:25" x14ac:dyDescent="0.35">
      <c r="A32" s="1" t="s">
        <v>120</v>
      </c>
      <c r="B32" s="1" t="s">
        <v>121</v>
      </c>
      <c r="C32" s="1" t="s">
        <v>29</v>
      </c>
      <c r="D32" s="1" t="s">
        <v>30</v>
      </c>
      <c r="E32" s="2" t="s">
        <v>1939</v>
      </c>
      <c r="F32" s="2" t="s">
        <v>1913</v>
      </c>
      <c r="G32" s="6">
        <v>300</v>
      </c>
      <c r="H32" s="8">
        <f t="shared" si="2"/>
        <v>258.62068965517244</v>
      </c>
      <c r="I32" s="2">
        <v>16</v>
      </c>
      <c r="J32" s="2">
        <f t="shared" si="1"/>
        <v>0.73088038666666666</v>
      </c>
      <c r="K32" t="s">
        <v>122</v>
      </c>
      <c r="L32">
        <v>6</v>
      </c>
      <c r="M32">
        <v>69.599900000000005</v>
      </c>
      <c r="N32">
        <v>69.599900000000005</v>
      </c>
      <c r="O32">
        <v>0</v>
      </c>
      <c r="P32">
        <v>417.5994</v>
      </c>
      <c r="Q32">
        <v>6</v>
      </c>
      <c r="R32">
        <v>417.6</v>
      </c>
      <c r="S32" t="s">
        <v>24</v>
      </c>
      <c r="T32" t="s">
        <v>24</v>
      </c>
      <c r="U32" t="s">
        <v>24</v>
      </c>
      <c r="V32" t="s">
        <v>25</v>
      </c>
      <c r="W32" t="s">
        <v>122</v>
      </c>
      <c r="X32" t="s">
        <v>26</v>
      </c>
      <c r="Y32" t="s">
        <v>24</v>
      </c>
    </row>
    <row r="33" spans="1:25" x14ac:dyDescent="0.35">
      <c r="A33" s="1" t="s">
        <v>123</v>
      </c>
      <c r="B33" s="1" t="s">
        <v>124</v>
      </c>
      <c r="C33" s="1" t="s">
        <v>29</v>
      </c>
      <c r="D33" s="1" t="s">
        <v>30</v>
      </c>
      <c r="E33" s="2" t="s">
        <v>1940</v>
      </c>
      <c r="F33" s="2" t="s">
        <v>1913</v>
      </c>
      <c r="G33" s="6">
        <v>140</v>
      </c>
      <c r="H33" s="8">
        <f t="shared" si="2"/>
        <v>120.68965517241381</v>
      </c>
      <c r="I33" s="2">
        <v>16</v>
      </c>
      <c r="J33" s="2">
        <f t="shared" si="1"/>
        <v>0.65697142857142865</v>
      </c>
      <c r="K33" t="s">
        <v>125</v>
      </c>
      <c r="L33">
        <v>1</v>
      </c>
      <c r="M33">
        <v>41.4</v>
      </c>
      <c r="N33">
        <v>41.4</v>
      </c>
      <c r="O33">
        <v>0</v>
      </c>
      <c r="P33">
        <v>41.4</v>
      </c>
      <c r="Q33">
        <v>1</v>
      </c>
      <c r="R33">
        <v>41.4</v>
      </c>
      <c r="S33" t="s">
        <v>24</v>
      </c>
      <c r="T33" t="s">
        <v>24</v>
      </c>
      <c r="U33" t="s">
        <v>24</v>
      </c>
      <c r="V33" t="s">
        <v>25</v>
      </c>
      <c r="W33" t="s">
        <v>125</v>
      </c>
      <c r="X33" t="s">
        <v>26</v>
      </c>
      <c r="Y33" t="s">
        <v>24</v>
      </c>
    </row>
    <row r="34" spans="1:25" x14ac:dyDescent="0.35">
      <c r="A34" s="1" t="s">
        <v>126</v>
      </c>
      <c r="B34" s="1" t="s">
        <v>127</v>
      </c>
      <c r="C34" s="1" t="s">
        <v>60</v>
      </c>
      <c r="D34" s="1" t="s">
        <v>61</v>
      </c>
      <c r="E34" s="2" t="s">
        <v>1922</v>
      </c>
      <c r="F34" s="2" t="s">
        <v>1911</v>
      </c>
      <c r="G34" s="6">
        <v>780</v>
      </c>
      <c r="H34" s="8">
        <f t="shared" si="2"/>
        <v>672.41379310344837</v>
      </c>
      <c r="I34" s="2">
        <v>16</v>
      </c>
      <c r="J34" s="2">
        <f t="shared" si="1"/>
        <v>0.69909897435897439</v>
      </c>
      <c r="K34" t="s">
        <v>128</v>
      </c>
      <c r="L34">
        <v>1</v>
      </c>
      <c r="M34">
        <v>202.33</v>
      </c>
      <c r="N34">
        <v>202.33</v>
      </c>
      <c r="O34">
        <v>0</v>
      </c>
      <c r="P34">
        <v>202.33</v>
      </c>
      <c r="Q34">
        <v>1</v>
      </c>
      <c r="R34">
        <v>202.33</v>
      </c>
      <c r="S34" t="s">
        <v>24</v>
      </c>
      <c r="T34" t="s">
        <v>24</v>
      </c>
      <c r="U34" t="s">
        <v>24</v>
      </c>
      <c r="V34" t="s">
        <v>25</v>
      </c>
      <c r="W34" t="s">
        <v>128</v>
      </c>
      <c r="X34" t="s">
        <v>26</v>
      </c>
      <c r="Y34" t="s">
        <v>24</v>
      </c>
    </row>
    <row r="35" spans="1:25" x14ac:dyDescent="0.35">
      <c r="A35" s="1" t="s">
        <v>129</v>
      </c>
      <c r="B35" s="1" t="s">
        <v>130</v>
      </c>
      <c r="C35" s="1" t="s">
        <v>60</v>
      </c>
      <c r="D35" s="1" t="s">
        <v>61</v>
      </c>
      <c r="E35" s="2" t="s">
        <v>1922</v>
      </c>
      <c r="F35" s="2" t="s">
        <v>1911</v>
      </c>
      <c r="G35" s="6">
        <v>780</v>
      </c>
      <c r="H35" s="8">
        <f t="shared" si="2"/>
        <v>672.41379310344837</v>
      </c>
      <c r="I35" s="2">
        <v>16</v>
      </c>
      <c r="J35" s="2">
        <f t="shared" si="1"/>
        <v>0.69909897435897439</v>
      </c>
      <c r="K35" t="s">
        <v>131</v>
      </c>
      <c r="L35">
        <v>1</v>
      </c>
      <c r="M35">
        <v>202.33</v>
      </c>
      <c r="N35">
        <v>202.33</v>
      </c>
      <c r="O35">
        <v>0</v>
      </c>
      <c r="P35">
        <v>202.33</v>
      </c>
      <c r="Q35">
        <v>1</v>
      </c>
      <c r="R35">
        <v>202.33</v>
      </c>
      <c r="S35" t="s">
        <v>24</v>
      </c>
      <c r="T35" t="s">
        <v>24</v>
      </c>
      <c r="U35" t="s">
        <v>24</v>
      </c>
      <c r="V35" t="s">
        <v>25</v>
      </c>
      <c r="W35" t="s">
        <v>131</v>
      </c>
      <c r="X35" t="s">
        <v>26</v>
      </c>
      <c r="Y35" t="s">
        <v>24</v>
      </c>
    </row>
    <row r="36" spans="1:25" x14ac:dyDescent="0.35">
      <c r="A36" s="1" t="s">
        <v>132</v>
      </c>
      <c r="B36" s="1" t="s">
        <v>133</v>
      </c>
      <c r="C36" s="1" t="s">
        <v>60</v>
      </c>
      <c r="D36" s="1" t="s">
        <v>61</v>
      </c>
      <c r="E36" s="2" t="s">
        <v>1922</v>
      </c>
      <c r="F36" s="2" t="s">
        <v>1911</v>
      </c>
      <c r="G36" s="6">
        <v>780</v>
      </c>
      <c r="H36" s="8">
        <f t="shared" si="2"/>
        <v>672.41379310344837</v>
      </c>
      <c r="I36" s="2">
        <v>16</v>
      </c>
      <c r="J36" s="2">
        <f t="shared" si="1"/>
        <v>0.69909897435897439</v>
      </c>
      <c r="K36" t="s">
        <v>134</v>
      </c>
      <c r="L36">
        <v>1</v>
      </c>
      <c r="M36">
        <v>202.33</v>
      </c>
      <c r="N36">
        <v>202.33</v>
      </c>
      <c r="O36">
        <v>0</v>
      </c>
      <c r="P36">
        <v>202.33</v>
      </c>
      <c r="Q36">
        <v>1</v>
      </c>
      <c r="R36">
        <v>202.33</v>
      </c>
      <c r="S36" t="s">
        <v>24</v>
      </c>
      <c r="T36" t="s">
        <v>24</v>
      </c>
      <c r="U36" t="s">
        <v>24</v>
      </c>
      <c r="V36" t="s">
        <v>25</v>
      </c>
      <c r="W36" t="s">
        <v>134</v>
      </c>
      <c r="X36" t="s">
        <v>26</v>
      </c>
      <c r="Y36" t="s">
        <v>24</v>
      </c>
    </row>
    <row r="37" spans="1:25" x14ac:dyDescent="0.35">
      <c r="A37" s="1" t="s">
        <v>135</v>
      </c>
      <c r="B37" s="1" t="s">
        <v>136</v>
      </c>
      <c r="C37" s="1" t="s">
        <v>60</v>
      </c>
      <c r="D37" s="1" t="s">
        <v>61</v>
      </c>
      <c r="E37" s="2" t="s">
        <v>1922</v>
      </c>
      <c r="F37" s="2" t="s">
        <v>1911</v>
      </c>
      <c r="G37" s="6">
        <v>780</v>
      </c>
      <c r="H37" s="8">
        <f t="shared" si="2"/>
        <v>672.41379310344837</v>
      </c>
      <c r="I37" s="2">
        <v>16</v>
      </c>
      <c r="J37" s="2">
        <f t="shared" si="1"/>
        <v>0.69909897435897439</v>
      </c>
      <c r="K37" t="s">
        <v>137</v>
      </c>
      <c r="L37">
        <v>1</v>
      </c>
      <c r="M37">
        <v>202.33</v>
      </c>
      <c r="N37">
        <v>202.33</v>
      </c>
      <c r="O37">
        <v>0</v>
      </c>
      <c r="P37">
        <v>202.33</v>
      </c>
      <c r="Q37">
        <v>1</v>
      </c>
      <c r="R37">
        <v>202.33</v>
      </c>
      <c r="S37" t="s">
        <v>24</v>
      </c>
      <c r="T37" t="s">
        <v>24</v>
      </c>
      <c r="U37" t="s">
        <v>24</v>
      </c>
      <c r="V37" t="s">
        <v>25</v>
      </c>
      <c r="W37" t="s">
        <v>137</v>
      </c>
      <c r="X37" t="s">
        <v>26</v>
      </c>
      <c r="Y37" t="s">
        <v>24</v>
      </c>
    </row>
    <row r="38" spans="1:25" x14ac:dyDescent="0.35">
      <c r="A38" s="1" t="s">
        <v>138</v>
      </c>
      <c r="B38" s="1" t="s">
        <v>139</v>
      </c>
      <c r="C38" s="1" t="s">
        <v>77</v>
      </c>
      <c r="D38" s="1" t="s">
        <v>78</v>
      </c>
      <c r="E38" s="2" t="s">
        <v>1941</v>
      </c>
      <c r="F38" s="2" t="s">
        <v>1911</v>
      </c>
      <c r="G38" s="6">
        <v>2980</v>
      </c>
      <c r="H38" s="8">
        <f t="shared" si="2"/>
        <v>2568.9655172413795</v>
      </c>
      <c r="I38" s="2">
        <v>16</v>
      </c>
      <c r="J38" s="2">
        <f t="shared" si="1"/>
        <v>0.69053691275167783</v>
      </c>
      <c r="K38" t="s">
        <v>140</v>
      </c>
      <c r="L38">
        <v>2</v>
      </c>
      <c r="M38">
        <v>795</v>
      </c>
      <c r="N38">
        <v>795</v>
      </c>
      <c r="O38">
        <v>0</v>
      </c>
      <c r="P38">
        <v>1590</v>
      </c>
      <c r="Q38">
        <v>2</v>
      </c>
      <c r="R38">
        <v>1590</v>
      </c>
      <c r="S38" t="s">
        <v>24</v>
      </c>
      <c r="T38" t="s">
        <v>24</v>
      </c>
      <c r="U38" t="s">
        <v>24</v>
      </c>
      <c r="V38" t="s">
        <v>25</v>
      </c>
      <c r="W38" t="s">
        <v>140</v>
      </c>
      <c r="X38" t="s">
        <v>26</v>
      </c>
      <c r="Y38" t="s">
        <v>24</v>
      </c>
    </row>
    <row r="39" spans="1:25" x14ac:dyDescent="0.35">
      <c r="A39" s="1" t="s">
        <v>141</v>
      </c>
      <c r="B39" s="1" t="s">
        <v>142</v>
      </c>
      <c r="C39" s="1" t="s">
        <v>77</v>
      </c>
      <c r="D39" s="1" t="s">
        <v>78</v>
      </c>
      <c r="E39" s="2" t="s">
        <v>1942</v>
      </c>
      <c r="F39" s="2" t="s">
        <v>1911</v>
      </c>
      <c r="G39" s="6">
        <v>3800</v>
      </c>
      <c r="H39" s="8">
        <f t="shared" si="2"/>
        <v>3275.8620689655177</v>
      </c>
      <c r="I39" s="2">
        <v>16</v>
      </c>
      <c r="J39" s="2">
        <f t="shared" si="1"/>
        <v>0.73289473684210527</v>
      </c>
      <c r="K39" t="s">
        <v>143</v>
      </c>
      <c r="L39">
        <v>2</v>
      </c>
      <c r="M39">
        <v>875</v>
      </c>
      <c r="N39">
        <v>875</v>
      </c>
      <c r="O39">
        <v>0</v>
      </c>
      <c r="P39">
        <v>1750</v>
      </c>
      <c r="Q39">
        <v>2</v>
      </c>
      <c r="R39">
        <v>1750</v>
      </c>
      <c r="S39" t="s">
        <v>24</v>
      </c>
      <c r="T39" t="s">
        <v>24</v>
      </c>
      <c r="U39" t="s">
        <v>24</v>
      </c>
      <c r="V39" t="s">
        <v>25</v>
      </c>
      <c r="W39" t="s">
        <v>143</v>
      </c>
      <c r="X39" t="s">
        <v>26</v>
      </c>
      <c r="Y39" t="s">
        <v>24</v>
      </c>
    </row>
    <row r="40" spans="1:25" x14ac:dyDescent="0.35">
      <c r="A40" s="1" t="s">
        <v>144</v>
      </c>
      <c r="B40" s="1" t="s">
        <v>145</v>
      </c>
      <c r="C40" s="1" t="s">
        <v>77</v>
      </c>
      <c r="D40" s="1" t="s">
        <v>78</v>
      </c>
      <c r="E40" s="2" t="s">
        <v>1943</v>
      </c>
      <c r="F40" s="2" t="s">
        <v>1911</v>
      </c>
      <c r="G40" s="6">
        <v>2380</v>
      </c>
      <c r="H40" s="8">
        <f t="shared" si="2"/>
        <v>2051.7241379310344</v>
      </c>
      <c r="I40" s="2">
        <v>16</v>
      </c>
      <c r="J40" s="2">
        <f t="shared" si="1"/>
        <v>0.70756302521008396</v>
      </c>
      <c r="K40" t="s">
        <v>146</v>
      </c>
      <c r="L40">
        <v>3</v>
      </c>
      <c r="M40">
        <v>600</v>
      </c>
      <c r="N40">
        <v>600</v>
      </c>
      <c r="O40">
        <v>0</v>
      </c>
      <c r="P40">
        <v>1800</v>
      </c>
      <c r="Q40">
        <v>3</v>
      </c>
      <c r="R40">
        <v>1800</v>
      </c>
      <c r="S40" t="s">
        <v>24</v>
      </c>
      <c r="T40" t="s">
        <v>24</v>
      </c>
      <c r="U40" t="s">
        <v>24</v>
      </c>
      <c r="V40" t="s">
        <v>25</v>
      </c>
      <c r="W40" t="s">
        <v>146</v>
      </c>
      <c r="X40" t="s">
        <v>26</v>
      </c>
      <c r="Y40" t="s">
        <v>24</v>
      </c>
    </row>
    <row r="41" spans="1:25" x14ac:dyDescent="0.35">
      <c r="A41" s="1" t="s">
        <v>147</v>
      </c>
      <c r="B41" s="1" t="s">
        <v>148</v>
      </c>
      <c r="C41" s="1" t="s">
        <v>77</v>
      </c>
      <c r="D41" s="1" t="s">
        <v>78</v>
      </c>
      <c r="E41" s="2" t="s">
        <v>1944</v>
      </c>
      <c r="F41" s="2" t="s">
        <v>1911</v>
      </c>
      <c r="G41" s="6">
        <v>3980</v>
      </c>
      <c r="H41" s="8">
        <f t="shared" si="2"/>
        <v>3431.0344827586209</v>
      </c>
      <c r="I41" s="2">
        <v>16</v>
      </c>
      <c r="J41" s="2">
        <f t="shared" si="1"/>
        <v>0.62984924623115579</v>
      </c>
      <c r="K41" t="s">
        <v>149</v>
      </c>
      <c r="L41">
        <v>3</v>
      </c>
      <c r="M41">
        <v>1270</v>
      </c>
      <c r="N41">
        <v>1270</v>
      </c>
      <c r="O41">
        <v>0</v>
      </c>
      <c r="P41">
        <v>3810</v>
      </c>
      <c r="Q41">
        <v>3</v>
      </c>
      <c r="R41">
        <v>3810</v>
      </c>
      <c r="S41" t="s">
        <v>24</v>
      </c>
      <c r="T41" t="s">
        <v>24</v>
      </c>
      <c r="U41" t="s">
        <v>24</v>
      </c>
      <c r="V41" t="s">
        <v>25</v>
      </c>
      <c r="W41" t="s">
        <v>149</v>
      </c>
      <c r="X41" t="s">
        <v>26</v>
      </c>
      <c r="Y41" t="s">
        <v>24</v>
      </c>
    </row>
    <row r="42" spans="1:25" x14ac:dyDescent="0.35">
      <c r="A42" s="1" t="s">
        <v>150</v>
      </c>
      <c r="B42" s="1" t="s">
        <v>151</v>
      </c>
      <c r="C42" s="1" t="s">
        <v>77</v>
      </c>
      <c r="D42" s="1" t="s">
        <v>78</v>
      </c>
      <c r="E42" s="2" t="s">
        <v>1945</v>
      </c>
      <c r="F42" s="2" t="s">
        <v>1911</v>
      </c>
      <c r="G42" s="6">
        <v>2580</v>
      </c>
      <c r="H42" s="8">
        <f t="shared" si="2"/>
        <v>2224.1379310344828</v>
      </c>
      <c r="I42" s="2">
        <v>16</v>
      </c>
      <c r="J42" s="2">
        <f t="shared" si="1"/>
        <v>0.69111627906976747</v>
      </c>
      <c r="K42" t="s">
        <v>152</v>
      </c>
      <c r="L42">
        <v>2</v>
      </c>
      <c r="M42">
        <v>687</v>
      </c>
      <c r="N42">
        <v>687</v>
      </c>
      <c r="O42">
        <v>0</v>
      </c>
      <c r="P42">
        <v>1374</v>
      </c>
      <c r="Q42">
        <v>2</v>
      </c>
      <c r="R42">
        <v>1374</v>
      </c>
      <c r="S42" t="s">
        <v>24</v>
      </c>
      <c r="T42" t="s">
        <v>24</v>
      </c>
      <c r="U42" t="s">
        <v>24</v>
      </c>
      <c r="V42" t="s">
        <v>25</v>
      </c>
      <c r="W42" t="s">
        <v>152</v>
      </c>
      <c r="X42" t="s">
        <v>26</v>
      </c>
      <c r="Y42" t="s">
        <v>24</v>
      </c>
    </row>
    <row r="43" spans="1:25" x14ac:dyDescent="0.35">
      <c r="A43" s="1" t="s">
        <v>153</v>
      </c>
      <c r="B43" s="1" t="s">
        <v>154</v>
      </c>
      <c r="C43" s="1" t="s">
        <v>77</v>
      </c>
      <c r="D43" s="1" t="s">
        <v>78</v>
      </c>
      <c r="E43" s="2" t="s">
        <v>1946</v>
      </c>
      <c r="F43" s="2" t="s">
        <v>1911</v>
      </c>
      <c r="G43" s="6">
        <v>1580</v>
      </c>
      <c r="H43" s="8">
        <f t="shared" si="2"/>
        <v>1362.0689655172414</v>
      </c>
      <c r="I43" s="2">
        <v>16</v>
      </c>
      <c r="J43" s="2">
        <f t="shared" si="1"/>
        <v>0.70779746835443036</v>
      </c>
      <c r="K43" t="s">
        <v>155</v>
      </c>
      <c r="L43">
        <v>2</v>
      </c>
      <c r="M43">
        <v>398</v>
      </c>
      <c r="N43">
        <v>398</v>
      </c>
      <c r="O43">
        <v>0</v>
      </c>
      <c r="P43">
        <v>796</v>
      </c>
      <c r="Q43">
        <v>2</v>
      </c>
      <c r="R43">
        <v>796</v>
      </c>
      <c r="S43" t="s">
        <v>24</v>
      </c>
      <c r="T43" t="s">
        <v>24</v>
      </c>
      <c r="U43" t="s">
        <v>24</v>
      </c>
      <c r="V43" t="s">
        <v>25</v>
      </c>
      <c r="W43" t="s">
        <v>155</v>
      </c>
      <c r="X43" t="s">
        <v>26</v>
      </c>
      <c r="Y43" t="s">
        <v>24</v>
      </c>
    </row>
    <row r="44" spans="1:25" x14ac:dyDescent="0.35">
      <c r="A44" s="1" t="s">
        <v>156</v>
      </c>
      <c r="B44" s="1" t="s">
        <v>157</v>
      </c>
      <c r="C44" s="1" t="s">
        <v>77</v>
      </c>
      <c r="D44" s="1" t="s">
        <v>78</v>
      </c>
      <c r="E44" s="2" t="s">
        <v>1947</v>
      </c>
      <c r="F44" s="2" t="s">
        <v>1911</v>
      </c>
      <c r="G44" s="6">
        <v>3380</v>
      </c>
      <c r="H44" s="8">
        <f t="shared" si="2"/>
        <v>2913.7931034482763</v>
      </c>
      <c r="I44" s="2">
        <v>16</v>
      </c>
      <c r="J44" s="2">
        <f t="shared" si="1"/>
        <v>0.69798816568047339</v>
      </c>
      <c r="K44" t="s">
        <v>158</v>
      </c>
      <c r="L44">
        <v>3</v>
      </c>
      <c r="M44">
        <v>880</v>
      </c>
      <c r="N44">
        <v>880</v>
      </c>
      <c r="O44">
        <v>0</v>
      </c>
      <c r="P44">
        <v>2640</v>
      </c>
      <c r="Q44">
        <v>3</v>
      </c>
      <c r="R44">
        <v>2640</v>
      </c>
      <c r="S44" t="s">
        <v>24</v>
      </c>
      <c r="T44" t="s">
        <v>24</v>
      </c>
      <c r="U44" t="s">
        <v>24</v>
      </c>
      <c r="V44" t="s">
        <v>25</v>
      </c>
      <c r="W44" t="s">
        <v>158</v>
      </c>
      <c r="X44" t="s">
        <v>26</v>
      </c>
      <c r="Y44" t="s">
        <v>24</v>
      </c>
    </row>
    <row r="45" spans="1:25" x14ac:dyDescent="0.35">
      <c r="A45" s="1" t="s">
        <v>159</v>
      </c>
      <c r="B45" s="1" t="s">
        <v>160</v>
      </c>
      <c r="C45" s="1" t="s">
        <v>77</v>
      </c>
      <c r="D45" s="1" t="s">
        <v>78</v>
      </c>
      <c r="E45" s="2" t="s">
        <v>1948</v>
      </c>
      <c r="F45" s="2" t="s">
        <v>1911</v>
      </c>
      <c r="G45" s="6">
        <v>2980</v>
      </c>
      <c r="H45" s="8">
        <f t="shared" si="2"/>
        <v>2568.9655172413795</v>
      </c>
      <c r="I45" s="2">
        <v>16</v>
      </c>
      <c r="J45" s="2">
        <f t="shared" si="1"/>
        <v>0.6963758389261745</v>
      </c>
      <c r="K45" t="s">
        <v>161</v>
      </c>
      <c r="L45">
        <v>1</v>
      </c>
      <c r="M45">
        <v>780</v>
      </c>
      <c r="N45">
        <v>780</v>
      </c>
      <c r="O45">
        <v>0</v>
      </c>
      <c r="P45">
        <v>780</v>
      </c>
      <c r="Q45">
        <v>1</v>
      </c>
      <c r="R45">
        <v>780</v>
      </c>
      <c r="S45" t="s">
        <v>24</v>
      </c>
      <c r="T45" t="s">
        <v>24</v>
      </c>
      <c r="U45" t="s">
        <v>24</v>
      </c>
      <c r="V45" t="s">
        <v>25</v>
      </c>
      <c r="W45" t="s">
        <v>161</v>
      </c>
      <c r="X45" t="s">
        <v>26</v>
      </c>
      <c r="Y45" t="s">
        <v>24</v>
      </c>
    </row>
    <row r="46" spans="1:25" x14ac:dyDescent="0.35">
      <c r="A46" s="1" t="s">
        <v>162</v>
      </c>
      <c r="B46" s="1" t="s">
        <v>163</v>
      </c>
      <c r="C46" s="1" t="s">
        <v>34</v>
      </c>
      <c r="D46" s="1" t="s">
        <v>35</v>
      </c>
      <c r="E46" s="2" t="s">
        <v>1949</v>
      </c>
      <c r="F46" s="2" t="s">
        <v>1911</v>
      </c>
      <c r="G46" s="6">
        <v>2600</v>
      </c>
      <c r="H46" s="8">
        <f t="shared" si="2"/>
        <v>2241.3793103448279</v>
      </c>
      <c r="I46" s="2">
        <v>16</v>
      </c>
      <c r="J46" s="2">
        <f t="shared" si="1"/>
        <v>0.70019353846153853</v>
      </c>
      <c r="K46" t="s">
        <v>164</v>
      </c>
      <c r="L46">
        <v>1</v>
      </c>
      <c r="M46">
        <v>671.98</v>
      </c>
      <c r="N46">
        <v>671.98</v>
      </c>
      <c r="O46">
        <v>0</v>
      </c>
      <c r="P46">
        <v>671.98</v>
      </c>
      <c r="Q46">
        <v>1</v>
      </c>
      <c r="R46">
        <v>671.98</v>
      </c>
      <c r="S46" t="s">
        <v>24</v>
      </c>
      <c r="T46" t="s">
        <v>24</v>
      </c>
      <c r="U46" t="s">
        <v>24</v>
      </c>
      <c r="V46" t="s">
        <v>25</v>
      </c>
      <c r="W46" t="s">
        <v>164</v>
      </c>
      <c r="X46" t="s">
        <v>26</v>
      </c>
      <c r="Y46" t="s">
        <v>24</v>
      </c>
    </row>
    <row r="47" spans="1:25" x14ac:dyDescent="0.35">
      <c r="A47" s="1" t="s">
        <v>165</v>
      </c>
      <c r="B47" s="1" t="s">
        <v>166</v>
      </c>
      <c r="C47" s="1" t="s">
        <v>21</v>
      </c>
      <c r="D47" s="1" t="s">
        <v>22</v>
      </c>
      <c r="E47" s="2" t="s">
        <v>1950</v>
      </c>
      <c r="F47" s="2" t="s">
        <v>1911</v>
      </c>
      <c r="G47" s="6">
        <v>2500</v>
      </c>
      <c r="H47" s="8">
        <f t="shared" si="2"/>
        <v>2155.1724137931037</v>
      </c>
      <c r="I47" s="2">
        <v>16</v>
      </c>
      <c r="J47" s="2">
        <f t="shared" si="1"/>
        <v>0.80164000000000002</v>
      </c>
      <c r="K47" t="s">
        <v>167</v>
      </c>
      <c r="L47">
        <v>1</v>
      </c>
      <c r="M47">
        <v>427.5</v>
      </c>
      <c r="N47">
        <v>427.5</v>
      </c>
      <c r="O47">
        <v>0</v>
      </c>
      <c r="P47">
        <v>427.5</v>
      </c>
      <c r="Q47">
        <v>1</v>
      </c>
      <c r="R47">
        <v>427.5</v>
      </c>
      <c r="S47" t="s">
        <v>24</v>
      </c>
      <c r="T47" t="s">
        <v>24</v>
      </c>
      <c r="U47" t="s">
        <v>24</v>
      </c>
      <c r="V47" t="s">
        <v>25</v>
      </c>
      <c r="W47" t="s">
        <v>167</v>
      </c>
      <c r="X47" t="s">
        <v>26</v>
      </c>
      <c r="Y47" t="s">
        <v>24</v>
      </c>
    </row>
    <row r="48" spans="1:25" x14ac:dyDescent="0.35">
      <c r="A48" s="1" t="s">
        <v>168</v>
      </c>
      <c r="B48" s="1" t="s">
        <v>169</v>
      </c>
      <c r="C48" s="1" t="s">
        <v>77</v>
      </c>
      <c r="D48" s="1" t="s">
        <v>78</v>
      </c>
      <c r="E48" s="2" t="s">
        <v>1951</v>
      </c>
      <c r="F48" s="2" t="s">
        <v>1911</v>
      </c>
      <c r="G48" s="6">
        <v>1980</v>
      </c>
      <c r="H48" s="8">
        <f t="shared" si="2"/>
        <v>1706.8965517241381</v>
      </c>
      <c r="I48" s="2">
        <v>16</v>
      </c>
      <c r="J48" s="2">
        <f t="shared" si="1"/>
        <v>0.6894949494949496</v>
      </c>
      <c r="K48" t="s">
        <v>170</v>
      </c>
      <c r="L48">
        <v>3</v>
      </c>
      <c r="M48">
        <v>530</v>
      </c>
      <c r="N48">
        <v>530</v>
      </c>
      <c r="O48">
        <v>0</v>
      </c>
      <c r="P48">
        <v>1590</v>
      </c>
      <c r="Q48">
        <v>3</v>
      </c>
      <c r="R48">
        <v>1590</v>
      </c>
      <c r="S48" t="s">
        <v>24</v>
      </c>
      <c r="T48" t="s">
        <v>24</v>
      </c>
      <c r="U48" t="s">
        <v>24</v>
      </c>
      <c r="V48" t="s">
        <v>25</v>
      </c>
      <c r="W48" t="s">
        <v>170</v>
      </c>
      <c r="X48" t="s">
        <v>26</v>
      </c>
      <c r="Y48" t="s">
        <v>24</v>
      </c>
    </row>
    <row r="49" spans="1:25" x14ac:dyDescent="0.35">
      <c r="A49" s="1" t="s">
        <v>171</v>
      </c>
      <c r="B49" s="1" t="s">
        <v>172</v>
      </c>
      <c r="C49" s="1" t="s">
        <v>77</v>
      </c>
      <c r="D49" s="1" t="s">
        <v>78</v>
      </c>
      <c r="E49" s="2" t="s">
        <v>1952</v>
      </c>
      <c r="F49" s="2" t="s">
        <v>1911</v>
      </c>
      <c r="G49" s="6">
        <v>2980</v>
      </c>
      <c r="H49" s="8">
        <f t="shared" si="2"/>
        <v>2568.9655172413795</v>
      </c>
      <c r="I49" s="2">
        <v>16</v>
      </c>
      <c r="J49" s="2">
        <f t="shared" si="1"/>
        <v>0.6971543624161074</v>
      </c>
      <c r="K49" t="s">
        <v>173</v>
      </c>
      <c r="L49">
        <v>1</v>
      </c>
      <c r="M49">
        <v>778</v>
      </c>
      <c r="N49">
        <v>778</v>
      </c>
      <c r="O49">
        <v>0</v>
      </c>
      <c r="P49">
        <v>778</v>
      </c>
      <c r="Q49">
        <v>1</v>
      </c>
      <c r="R49">
        <v>778</v>
      </c>
      <c r="S49" t="s">
        <v>24</v>
      </c>
      <c r="T49" t="s">
        <v>24</v>
      </c>
      <c r="U49" t="s">
        <v>24</v>
      </c>
      <c r="V49" t="s">
        <v>25</v>
      </c>
      <c r="W49" t="s">
        <v>173</v>
      </c>
      <c r="X49" t="s">
        <v>26</v>
      </c>
      <c r="Y49" t="s">
        <v>24</v>
      </c>
    </row>
    <row r="50" spans="1:25" x14ac:dyDescent="0.35">
      <c r="A50" s="1" t="s">
        <v>174</v>
      </c>
      <c r="B50" s="1" t="s">
        <v>175</v>
      </c>
      <c r="C50" s="1" t="s">
        <v>77</v>
      </c>
      <c r="D50" s="1" t="s">
        <v>78</v>
      </c>
      <c r="E50" s="2" t="s">
        <v>1953</v>
      </c>
      <c r="F50" s="2" t="s">
        <v>1911</v>
      </c>
      <c r="G50" s="6">
        <v>4400</v>
      </c>
      <c r="H50" s="8">
        <f t="shared" si="2"/>
        <v>3793.1034482758623</v>
      </c>
      <c r="I50" s="2">
        <v>16</v>
      </c>
      <c r="J50" s="2">
        <f t="shared" si="1"/>
        <v>0.76404545454545458</v>
      </c>
      <c r="K50" t="s">
        <v>176</v>
      </c>
      <c r="L50">
        <v>4</v>
      </c>
      <c r="M50">
        <v>895</v>
      </c>
      <c r="N50">
        <v>895</v>
      </c>
      <c r="O50">
        <v>0</v>
      </c>
      <c r="P50">
        <v>3580</v>
      </c>
      <c r="Q50">
        <v>4</v>
      </c>
      <c r="R50">
        <v>3580</v>
      </c>
      <c r="S50" t="s">
        <v>24</v>
      </c>
      <c r="T50" t="s">
        <v>24</v>
      </c>
      <c r="U50" t="s">
        <v>24</v>
      </c>
      <c r="V50" t="s">
        <v>25</v>
      </c>
      <c r="W50" t="s">
        <v>176</v>
      </c>
      <c r="X50" t="s">
        <v>26</v>
      </c>
      <c r="Y50" t="s">
        <v>24</v>
      </c>
    </row>
    <row r="51" spans="1:25" x14ac:dyDescent="0.35">
      <c r="A51" s="1" t="s">
        <v>177</v>
      </c>
      <c r="B51" s="1" t="s">
        <v>178</v>
      </c>
      <c r="C51" s="1" t="s">
        <v>77</v>
      </c>
      <c r="D51" s="1" t="s">
        <v>78</v>
      </c>
      <c r="E51" s="2" t="s">
        <v>1954</v>
      </c>
      <c r="F51" s="2" t="s">
        <v>1911</v>
      </c>
      <c r="G51" s="6">
        <v>1980</v>
      </c>
      <c r="H51" s="8">
        <f t="shared" si="2"/>
        <v>1706.8965517241381</v>
      </c>
      <c r="I51" s="2">
        <v>16</v>
      </c>
      <c r="J51" s="2">
        <f t="shared" si="1"/>
        <v>0.6865656565656566</v>
      </c>
      <c r="K51" t="s">
        <v>179</v>
      </c>
      <c r="L51">
        <v>2</v>
      </c>
      <c r="M51">
        <v>535</v>
      </c>
      <c r="N51">
        <v>535</v>
      </c>
      <c r="O51">
        <v>0</v>
      </c>
      <c r="P51">
        <v>1070</v>
      </c>
      <c r="Q51">
        <v>2</v>
      </c>
      <c r="R51">
        <v>1070</v>
      </c>
      <c r="S51" t="s">
        <v>24</v>
      </c>
      <c r="T51" t="s">
        <v>24</v>
      </c>
      <c r="U51" t="s">
        <v>24</v>
      </c>
      <c r="V51" t="s">
        <v>25</v>
      </c>
      <c r="W51" t="s">
        <v>179</v>
      </c>
      <c r="X51" t="s">
        <v>26</v>
      </c>
      <c r="Y51" t="s">
        <v>24</v>
      </c>
    </row>
    <row r="52" spans="1:25" x14ac:dyDescent="0.35">
      <c r="A52" s="1" t="s">
        <v>180</v>
      </c>
      <c r="B52" s="1" t="s">
        <v>181</v>
      </c>
      <c r="C52" s="1" t="s">
        <v>77</v>
      </c>
      <c r="D52" s="1" t="s">
        <v>78</v>
      </c>
      <c r="E52" s="2" t="s">
        <v>1955</v>
      </c>
      <c r="F52" s="2" t="s">
        <v>1911</v>
      </c>
      <c r="G52" s="6">
        <v>3980</v>
      </c>
      <c r="H52" s="8">
        <f t="shared" si="2"/>
        <v>3431.0344827586209</v>
      </c>
      <c r="I52" s="2">
        <v>16</v>
      </c>
      <c r="J52" s="2">
        <f t="shared" si="1"/>
        <v>0.63859296482412065</v>
      </c>
      <c r="K52" t="s">
        <v>182</v>
      </c>
      <c r="L52">
        <v>3</v>
      </c>
      <c r="M52">
        <v>1240</v>
      </c>
      <c r="N52">
        <v>1240</v>
      </c>
      <c r="O52">
        <v>0</v>
      </c>
      <c r="P52">
        <v>3720</v>
      </c>
      <c r="Q52">
        <v>3</v>
      </c>
      <c r="R52">
        <v>3720</v>
      </c>
      <c r="S52" t="s">
        <v>24</v>
      </c>
      <c r="T52" t="s">
        <v>24</v>
      </c>
      <c r="U52" t="s">
        <v>24</v>
      </c>
      <c r="V52" t="s">
        <v>25</v>
      </c>
      <c r="W52" t="s">
        <v>182</v>
      </c>
      <c r="X52" t="s">
        <v>26</v>
      </c>
      <c r="Y52" t="s">
        <v>24</v>
      </c>
    </row>
    <row r="53" spans="1:25" x14ac:dyDescent="0.35">
      <c r="A53" s="1" t="s">
        <v>183</v>
      </c>
      <c r="B53" s="1" t="s">
        <v>184</v>
      </c>
      <c r="C53" s="1" t="s">
        <v>77</v>
      </c>
      <c r="D53" s="1" t="s">
        <v>78</v>
      </c>
      <c r="E53" s="2" t="s">
        <v>1956</v>
      </c>
      <c r="F53" s="2" t="s">
        <v>1911</v>
      </c>
      <c r="G53" s="6">
        <v>3780</v>
      </c>
      <c r="H53" s="8">
        <f t="shared" si="2"/>
        <v>3258.6206896551726</v>
      </c>
      <c r="I53" s="2">
        <v>16</v>
      </c>
      <c r="J53" s="2">
        <f t="shared" si="1"/>
        <v>0.69925925925925925</v>
      </c>
      <c r="K53" t="s">
        <v>185</v>
      </c>
      <c r="L53">
        <v>4</v>
      </c>
      <c r="M53">
        <v>980</v>
      </c>
      <c r="N53">
        <v>980</v>
      </c>
      <c r="O53">
        <v>0</v>
      </c>
      <c r="P53">
        <v>3920</v>
      </c>
      <c r="Q53">
        <v>4</v>
      </c>
      <c r="R53">
        <v>3920</v>
      </c>
      <c r="S53" t="s">
        <v>24</v>
      </c>
      <c r="T53" t="s">
        <v>24</v>
      </c>
      <c r="U53" t="s">
        <v>24</v>
      </c>
      <c r="V53" t="s">
        <v>25</v>
      </c>
      <c r="W53" t="s">
        <v>185</v>
      </c>
      <c r="X53" t="s">
        <v>26</v>
      </c>
      <c r="Y53" t="s">
        <v>24</v>
      </c>
    </row>
    <row r="54" spans="1:25" x14ac:dyDescent="0.35">
      <c r="A54" s="1" t="s">
        <v>186</v>
      </c>
      <c r="B54" s="1" t="s">
        <v>187</v>
      </c>
      <c r="C54" s="1" t="s">
        <v>77</v>
      </c>
      <c r="D54" s="1" t="s">
        <v>78</v>
      </c>
      <c r="E54" s="2" t="s">
        <v>1957</v>
      </c>
      <c r="F54" s="2" t="s">
        <v>1911</v>
      </c>
      <c r="G54" s="6">
        <v>2580</v>
      </c>
      <c r="H54" s="8">
        <f t="shared" si="2"/>
        <v>2224.1379310344828</v>
      </c>
      <c r="I54" s="2">
        <v>16</v>
      </c>
      <c r="J54" s="2">
        <f t="shared" si="1"/>
        <v>0.70820155038759691</v>
      </c>
      <c r="K54" t="s">
        <v>188</v>
      </c>
      <c r="L54">
        <v>3</v>
      </c>
      <c r="M54">
        <v>649</v>
      </c>
      <c r="N54">
        <v>649</v>
      </c>
      <c r="O54">
        <v>0</v>
      </c>
      <c r="P54">
        <v>1947</v>
      </c>
      <c r="Q54">
        <v>3</v>
      </c>
      <c r="R54">
        <v>1947</v>
      </c>
      <c r="S54" t="s">
        <v>24</v>
      </c>
      <c r="T54" t="s">
        <v>24</v>
      </c>
      <c r="U54" t="s">
        <v>24</v>
      </c>
      <c r="V54" t="s">
        <v>25</v>
      </c>
      <c r="W54" t="s">
        <v>188</v>
      </c>
      <c r="X54" t="s">
        <v>26</v>
      </c>
      <c r="Y54" t="s">
        <v>24</v>
      </c>
    </row>
    <row r="55" spans="1:25" x14ac:dyDescent="0.35">
      <c r="A55" s="1" t="s">
        <v>189</v>
      </c>
      <c r="B55" s="1" t="s">
        <v>190</v>
      </c>
      <c r="C55" s="1" t="s">
        <v>77</v>
      </c>
      <c r="D55" s="1" t="s">
        <v>78</v>
      </c>
      <c r="E55" s="2" t="s">
        <v>1958</v>
      </c>
      <c r="F55" s="2" t="s">
        <v>1911</v>
      </c>
      <c r="G55" s="6">
        <v>1180</v>
      </c>
      <c r="H55" s="8">
        <f t="shared" si="2"/>
        <v>1017.2413793103449</v>
      </c>
      <c r="I55" s="2">
        <v>16</v>
      </c>
      <c r="J55" s="2">
        <f t="shared" si="1"/>
        <v>0.68050847457627128</v>
      </c>
      <c r="K55" t="s">
        <v>191</v>
      </c>
      <c r="L55">
        <v>2</v>
      </c>
      <c r="M55">
        <v>325</v>
      </c>
      <c r="N55">
        <v>325</v>
      </c>
      <c r="O55">
        <v>0</v>
      </c>
      <c r="P55">
        <v>650</v>
      </c>
      <c r="Q55">
        <v>2</v>
      </c>
      <c r="R55">
        <v>650</v>
      </c>
      <c r="S55" t="s">
        <v>24</v>
      </c>
      <c r="T55" t="s">
        <v>24</v>
      </c>
      <c r="U55" t="s">
        <v>24</v>
      </c>
      <c r="V55" t="s">
        <v>25</v>
      </c>
      <c r="W55" t="s">
        <v>191</v>
      </c>
      <c r="X55" t="s">
        <v>26</v>
      </c>
      <c r="Y55" t="s">
        <v>24</v>
      </c>
    </row>
    <row r="56" spans="1:25" x14ac:dyDescent="0.35">
      <c r="A56" s="1" t="s">
        <v>192</v>
      </c>
      <c r="B56" s="1" t="s">
        <v>193</v>
      </c>
      <c r="C56" s="1" t="s">
        <v>77</v>
      </c>
      <c r="D56" s="1" t="s">
        <v>78</v>
      </c>
      <c r="E56" s="2" t="s">
        <v>1959</v>
      </c>
      <c r="F56" s="2" t="s">
        <v>1911</v>
      </c>
      <c r="G56" s="6">
        <v>980</v>
      </c>
      <c r="H56" s="8">
        <f t="shared" si="2"/>
        <v>844.82758620689663</v>
      </c>
      <c r="I56" s="2">
        <v>16</v>
      </c>
      <c r="J56" s="2">
        <f t="shared" si="1"/>
        <v>0.68040816326530618</v>
      </c>
      <c r="K56" t="s">
        <v>194</v>
      </c>
      <c r="L56">
        <v>1</v>
      </c>
      <c r="M56">
        <v>270</v>
      </c>
      <c r="N56">
        <v>270</v>
      </c>
      <c r="O56">
        <v>0</v>
      </c>
      <c r="P56">
        <v>270</v>
      </c>
      <c r="Q56">
        <v>1</v>
      </c>
      <c r="R56">
        <v>270</v>
      </c>
      <c r="S56" t="s">
        <v>24</v>
      </c>
      <c r="T56" t="s">
        <v>24</v>
      </c>
      <c r="U56" t="s">
        <v>24</v>
      </c>
      <c r="V56" t="s">
        <v>25</v>
      </c>
      <c r="W56" t="s">
        <v>194</v>
      </c>
      <c r="X56" t="s">
        <v>26</v>
      </c>
      <c r="Y56" t="s">
        <v>24</v>
      </c>
    </row>
    <row r="57" spans="1:25" x14ac:dyDescent="0.35">
      <c r="A57" s="1" t="s">
        <v>195</v>
      </c>
      <c r="B57" s="1" t="s">
        <v>196</v>
      </c>
      <c r="C57" s="1" t="s">
        <v>77</v>
      </c>
      <c r="D57" s="1" t="s">
        <v>78</v>
      </c>
      <c r="E57" s="2" t="s">
        <v>1960</v>
      </c>
      <c r="F57" s="2" t="s">
        <v>1911</v>
      </c>
      <c r="G57" s="6">
        <v>1580</v>
      </c>
      <c r="H57" s="8">
        <f t="shared" si="2"/>
        <v>1362.0689655172414</v>
      </c>
      <c r="I57" s="2">
        <v>16</v>
      </c>
      <c r="J57" s="2">
        <f t="shared" si="1"/>
        <v>0.71367088607594931</v>
      </c>
      <c r="K57" t="s">
        <v>197</v>
      </c>
      <c r="L57">
        <v>2</v>
      </c>
      <c r="M57">
        <v>390</v>
      </c>
      <c r="N57">
        <v>390</v>
      </c>
      <c r="O57">
        <v>0</v>
      </c>
      <c r="P57">
        <v>780</v>
      </c>
      <c r="Q57">
        <v>2</v>
      </c>
      <c r="R57">
        <v>780</v>
      </c>
      <c r="S57" t="s">
        <v>24</v>
      </c>
      <c r="T57" t="s">
        <v>24</v>
      </c>
      <c r="U57" t="s">
        <v>24</v>
      </c>
      <c r="V57" t="s">
        <v>25</v>
      </c>
      <c r="W57" t="s">
        <v>197</v>
      </c>
      <c r="X57" t="s">
        <v>26</v>
      </c>
      <c r="Y57" t="s">
        <v>24</v>
      </c>
    </row>
    <row r="58" spans="1:25" x14ac:dyDescent="0.35">
      <c r="A58" s="1" t="s">
        <v>198</v>
      </c>
      <c r="B58" s="1" t="s">
        <v>199</v>
      </c>
      <c r="C58" s="1" t="s">
        <v>77</v>
      </c>
      <c r="D58" s="1" t="s">
        <v>78</v>
      </c>
      <c r="E58" s="2" t="s">
        <v>1961</v>
      </c>
      <c r="F58" s="2" t="s">
        <v>1911</v>
      </c>
      <c r="G58" s="6">
        <v>1580</v>
      </c>
      <c r="H58" s="8">
        <f t="shared" si="2"/>
        <v>1362.0689655172414</v>
      </c>
      <c r="I58" s="2">
        <v>16</v>
      </c>
      <c r="J58" s="2">
        <f t="shared" si="1"/>
        <v>0.71</v>
      </c>
      <c r="K58" t="s">
        <v>200</v>
      </c>
      <c r="L58">
        <v>1</v>
      </c>
      <c r="M58">
        <v>395</v>
      </c>
      <c r="N58">
        <v>395</v>
      </c>
      <c r="O58">
        <v>0</v>
      </c>
      <c r="P58">
        <v>395</v>
      </c>
      <c r="Q58">
        <v>1</v>
      </c>
      <c r="R58">
        <v>395</v>
      </c>
      <c r="S58" t="s">
        <v>24</v>
      </c>
      <c r="T58" t="s">
        <v>24</v>
      </c>
      <c r="U58" t="s">
        <v>24</v>
      </c>
      <c r="V58" t="s">
        <v>25</v>
      </c>
      <c r="W58" t="s">
        <v>200</v>
      </c>
      <c r="X58" t="s">
        <v>26</v>
      </c>
      <c r="Y58" t="s">
        <v>24</v>
      </c>
    </row>
    <row r="59" spans="1:25" x14ac:dyDescent="0.35">
      <c r="A59" s="1" t="s">
        <v>201</v>
      </c>
      <c r="B59" s="1" t="s">
        <v>202</v>
      </c>
      <c r="C59" s="1" t="s">
        <v>34</v>
      </c>
      <c r="D59" s="1" t="s">
        <v>35</v>
      </c>
      <c r="E59" s="2" t="s">
        <v>1962</v>
      </c>
      <c r="F59" s="2" t="s">
        <v>1911</v>
      </c>
      <c r="G59" s="6">
        <v>9700</v>
      </c>
      <c r="H59" s="8">
        <f t="shared" si="2"/>
        <v>8362.0689655172428</v>
      </c>
      <c r="I59" s="2">
        <v>16</v>
      </c>
      <c r="J59" s="2">
        <f t="shared" si="1"/>
        <v>0.70005154103092782</v>
      </c>
      <c r="K59" t="s">
        <v>203</v>
      </c>
      <c r="L59">
        <v>1</v>
      </c>
      <c r="M59">
        <v>2508.1896999999999</v>
      </c>
      <c r="N59">
        <v>2508.1896999999999</v>
      </c>
      <c r="O59">
        <v>0</v>
      </c>
      <c r="P59">
        <v>2508.1896999999999</v>
      </c>
      <c r="Q59">
        <v>1</v>
      </c>
      <c r="R59">
        <v>2508.19</v>
      </c>
      <c r="S59" t="s">
        <v>24</v>
      </c>
      <c r="T59" t="s">
        <v>24</v>
      </c>
      <c r="U59" t="s">
        <v>24</v>
      </c>
      <c r="V59" t="s">
        <v>25</v>
      </c>
      <c r="W59" t="s">
        <v>203</v>
      </c>
      <c r="X59" t="s">
        <v>26</v>
      </c>
      <c r="Y59" t="s">
        <v>24</v>
      </c>
    </row>
    <row r="60" spans="1:25" x14ac:dyDescent="0.35">
      <c r="A60" s="1" t="s">
        <v>204</v>
      </c>
      <c r="B60" s="1" t="s">
        <v>205</v>
      </c>
      <c r="C60" s="1" t="s">
        <v>34</v>
      </c>
      <c r="D60" s="1" t="s">
        <v>35</v>
      </c>
      <c r="E60" s="2" t="s">
        <v>1963</v>
      </c>
      <c r="F60" s="2" t="s">
        <v>1911</v>
      </c>
      <c r="G60" s="6">
        <v>5600</v>
      </c>
      <c r="H60" s="8">
        <f t="shared" si="2"/>
        <v>4827.5862068965516</v>
      </c>
      <c r="I60" s="2">
        <v>16</v>
      </c>
      <c r="J60" s="2">
        <f t="shared" si="1"/>
        <v>0.59473214642857142</v>
      </c>
      <c r="K60" t="s">
        <v>206</v>
      </c>
      <c r="L60">
        <v>1</v>
      </c>
      <c r="M60">
        <v>1956.4655</v>
      </c>
      <c r="N60">
        <v>1956.4655</v>
      </c>
      <c r="O60">
        <v>0</v>
      </c>
      <c r="P60">
        <v>1956.4655</v>
      </c>
      <c r="Q60">
        <v>1</v>
      </c>
      <c r="R60">
        <v>1956.47</v>
      </c>
      <c r="S60" t="s">
        <v>24</v>
      </c>
      <c r="T60" t="s">
        <v>24</v>
      </c>
      <c r="U60" t="s">
        <v>24</v>
      </c>
      <c r="V60" t="s">
        <v>25</v>
      </c>
      <c r="W60" t="s">
        <v>206</v>
      </c>
      <c r="X60" t="s">
        <v>26</v>
      </c>
      <c r="Y60" t="s">
        <v>24</v>
      </c>
    </row>
    <row r="61" spans="1:25" x14ac:dyDescent="0.35">
      <c r="A61" s="1" t="s">
        <v>207</v>
      </c>
      <c r="B61" s="1" t="s">
        <v>208</v>
      </c>
      <c r="C61" s="1" t="s">
        <v>34</v>
      </c>
      <c r="D61" s="1" t="s">
        <v>35</v>
      </c>
      <c r="E61" s="2" t="s">
        <v>1964</v>
      </c>
      <c r="F61" s="2" t="s">
        <v>1911</v>
      </c>
      <c r="G61" s="6">
        <v>3200</v>
      </c>
      <c r="H61" s="8">
        <f t="shared" si="2"/>
        <v>2758.6206896551726</v>
      </c>
      <c r="I61" s="2">
        <v>16</v>
      </c>
      <c r="J61" s="2">
        <f t="shared" si="1"/>
        <v>0.70015623999999999</v>
      </c>
      <c r="K61" t="s">
        <v>209</v>
      </c>
      <c r="L61">
        <v>1</v>
      </c>
      <c r="M61">
        <v>827.15520000000004</v>
      </c>
      <c r="N61">
        <v>827.15520000000004</v>
      </c>
      <c r="O61">
        <v>0</v>
      </c>
      <c r="P61">
        <v>827.15520000000004</v>
      </c>
      <c r="Q61">
        <v>1</v>
      </c>
      <c r="R61">
        <v>827.16</v>
      </c>
      <c r="S61" t="s">
        <v>24</v>
      </c>
      <c r="T61" t="s">
        <v>24</v>
      </c>
      <c r="U61" t="s">
        <v>24</v>
      </c>
      <c r="V61" t="s">
        <v>25</v>
      </c>
      <c r="W61" t="s">
        <v>209</v>
      </c>
      <c r="X61" t="s">
        <v>26</v>
      </c>
      <c r="Y61" t="s">
        <v>24</v>
      </c>
    </row>
    <row r="62" spans="1:25" x14ac:dyDescent="0.35">
      <c r="A62" s="1" t="s">
        <v>210</v>
      </c>
      <c r="B62" s="1" t="s">
        <v>211</v>
      </c>
      <c r="C62" s="1" t="s">
        <v>34</v>
      </c>
      <c r="D62" s="1" t="s">
        <v>35</v>
      </c>
      <c r="E62" s="2" t="s">
        <v>1965</v>
      </c>
      <c r="F62" s="2" t="s">
        <v>1911</v>
      </c>
      <c r="G62" s="6">
        <v>4840</v>
      </c>
      <c r="H62" s="8">
        <f t="shared" si="2"/>
        <v>4172.4137931034484</v>
      </c>
      <c r="I62" s="2">
        <v>16</v>
      </c>
      <c r="J62" s="2">
        <f t="shared" si="1"/>
        <v>0.69948347355371898</v>
      </c>
      <c r="K62" t="s">
        <v>212</v>
      </c>
      <c r="L62">
        <v>1</v>
      </c>
      <c r="M62">
        <v>1253.8793000000001</v>
      </c>
      <c r="N62">
        <v>1253.8793000000001</v>
      </c>
      <c r="O62">
        <v>0</v>
      </c>
      <c r="P62">
        <v>1253.8793000000001</v>
      </c>
      <c r="Q62">
        <v>1</v>
      </c>
      <c r="R62">
        <v>1253.8800000000001</v>
      </c>
      <c r="S62" t="s">
        <v>24</v>
      </c>
      <c r="T62" t="s">
        <v>24</v>
      </c>
      <c r="U62" t="s">
        <v>24</v>
      </c>
      <c r="V62" t="s">
        <v>25</v>
      </c>
      <c r="W62" t="s">
        <v>212</v>
      </c>
      <c r="X62" t="s">
        <v>26</v>
      </c>
      <c r="Y62" t="s">
        <v>24</v>
      </c>
    </row>
    <row r="63" spans="1:25" x14ac:dyDescent="0.35">
      <c r="A63" s="1" t="s">
        <v>213</v>
      </c>
      <c r="B63" s="1" t="s">
        <v>214</v>
      </c>
      <c r="C63" s="1" t="s">
        <v>21</v>
      </c>
      <c r="D63" s="1" t="s">
        <v>22</v>
      </c>
      <c r="E63" s="2" t="s">
        <v>1966</v>
      </c>
      <c r="F63" s="2" t="s">
        <v>1911</v>
      </c>
      <c r="G63" s="6">
        <v>3580</v>
      </c>
      <c r="H63" s="8">
        <f t="shared" si="2"/>
        <v>3086.2068965517242</v>
      </c>
      <c r="I63" s="2">
        <v>16</v>
      </c>
      <c r="J63" s="2">
        <f t="shared" si="1"/>
        <v>0.82762011173184358</v>
      </c>
      <c r="K63" t="s">
        <v>215</v>
      </c>
      <c r="L63">
        <v>1</v>
      </c>
      <c r="M63">
        <v>532</v>
      </c>
      <c r="N63">
        <v>532</v>
      </c>
      <c r="O63">
        <v>0</v>
      </c>
      <c r="P63">
        <v>532</v>
      </c>
      <c r="Q63">
        <v>1</v>
      </c>
      <c r="R63">
        <v>532</v>
      </c>
      <c r="S63" t="s">
        <v>24</v>
      </c>
      <c r="T63" t="s">
        <v>24</v>
      </c>
      <c r="U63" t="s">
        <v>24</v>
      </c>
      <c r="V63" t="s">
        <v>25</v>
      </c>
      <c r="W63" t="s">
        <v>215</v>
      </c>
      <c r="X63" t="s">
        <v>26</v>
      </c>
      <c r="Y63" t="s">
        <v>24</v>
      </c>
    </row>
    <row r="64" spans="1:25" x14ac:dyDescent="0.35">
      <c r="A64" s="1" t="s">
        <v>216</v>
      </c>
      <c r="B64" s="1" t="s">
        <v>217</v>
      </c>
      <c r="C64" s="1" t="s">
        <v>21</v>
      </c>
      <c r="D64" s="1" t="s">
        <v>22</v>
      </c>
      <c r="E64" s="2" t="s">
        <v>1967</v>
      </c>
      <c r="F64" s="2" t="s">
        <v>1911</v>
      </c>
      <c r="G64" s="6">
        <v>8980</v>
      </c>
      <c r="H64" s="8">
        <f t="shared" si="2"/>
        <v>7741.3793103448279</v>
      </c>
      <c r="I64" s="2">
        <v>16</v>
      </c>
      <c r="J64" s="2">
        <f t="shared" si="1"/>
        <v>0.83065033407572386</v>
      </c>
      <c r="K64" t="s">
        <v>218</v>
      </c>
      <c r="L64">
        <v>1</v>
      </c>
      <c r="M64">
        <v>1311</v>
      </c>
      <c r="N64">
        <v>1311</v>
      </c>
      <c r="O64">
        <v>0</v>
      </c>
      <c r="P64">
        <v>1311</v>
      </c>
      <c r="Q64">
        <v>1</v>
      </c>
      <c r="R64">
        <v>1311</v>
      </c>
      <c r="S64" t="s">
        <v>24</v>
      </c>
      <c r="T64" t="s">
        <v>24</v>
      </c>
      <c r="U64" t="s">
        <v>24</v>
      </c>
      <c r="V64" t="s">
        <v>25</v>
      </c>
      <c r="W64" t="s">
        <v>218</v>
      </c>
      <c r="X64" t="s">
        <v>26</v>
      </c>
      <c r="Y64" t="s">
        <v>24</v>
      </c>
    </row>
    <row r="65" spans="1:25" x14ac:dyDescent="0.35">
      <c r="A65" s="1" t="s">
        <v>219</v>
      </c>
      <c r="B65" s="1" t="s">
        <v>220</v>
      </c>
      <c r="C65" s="1" t="s">
        <v>77</v>
      </c>
      <c r="D65" s="1" t="s">
        <v>78</v>
      </c>
      <c r="E65" s="2" t="s">
        <v>1968</v>
      </c>
      <c r="F65" s="2" t="s">
        <v>1911</v>
      </c>
      <c r="G65" s="6">
        <v>1620</v>
      </c>
      <c r="H65" s="8">
        <f t="shared" si="2"/>
        <v>1396.5517241379312</v>
      </c>
      <c r="I65" s="2">
        <v>16</v>
      </c>
      <c r="J65" s="2">
        <f t="shared" si="1"/>
        <v>0.69925925925925925</v>
      </c>
      <c r="K65" t="s">
        <v>221</v>
      </c>
      <c r="L65">
        <v>1</v>
      </c>
      <c r="M65">
        <v>420</v>
      </c>
      <c r="N65">
        <v>420</v>
      </c>
      <c r="O65">
        <v>0</v>
      </c>
      <c r="P65">
        <v>420</v>
      </c>
      <c r="Q65">
        <v>1</v>
      </c>
      <c r="R65">
        <v>420</v>
      </c>
      <c r="S65" t="s">
        <v>24</v>
      </c>
      <c r="T65" t="s">
        <v>24</v>
      </c>
      <c r="U65" t="s">
        <v>24</v>
      </c>
      <c r="V65" t="s">
        <v>25</v>
      </c>
      <c r="W65" t="s">
        <v>221</v>
      </c>
      <c r="X65" t="s">
        <v>26</v>
      </c>
      <c r="Y65" t="s">
        <v>24</v>
      </c>
    </row>
    <row r="66" spans="1:25" x14ac:dyDescent="0.35">
      <c r="A66" s="1" t="s">
        <v>222</v>
      </c>
      <c r="B66" s="1" t="s">
        <v>223</v>
      </c>
      <c r="C66" s="1" t="s">
        <v>77</v>
      </c>
      <c r="D66" s="1" t="s">
        <v>78</v>
      </c>
      <c r="E66" s="2" t="s">
        <v>1958</v>
      </c>
      <c r="F66" s="2" t="s">
        <v>1911</v>
      </c>
      <c r="G66" s="6">
        <v>1180</v>
      </c>
      <c r="H66" s="8">
        <f t="shared" si="2"/>
        <v>1017.2413793103449</v>
      </c>
      <c r="I66" s="2">
        <v>16</v>
      </c>
      <c r="J66" s="2">
        <f t="shared" si="1"/>
        <v>0.69722033898305091</v>
      </c>
      <c r="K66" t="s">
        <v>224</v>
      </c>
      <c r="L66">
        <v>1</v>
      </c>
      <c r="M66">
        <v>308</v>
      </c>
      <c r="N66">
        <v>308</v>
      </c>
      <c r="O66">
        <v>0</v>
      </c>
      <c r="P66">
        <v>308</v>
      </c>
      <c r="Q66">
        <v>1</v>
      </c>
      <c r="R66">
        <v>308</v>
      </c>
      <c r="S66" t="s">
        <v>24</v>
      </c>
      <c r="T66" t="s">
        <v>24</v>
      </c>
      <c r="U66" t="s">
        <v>24</v>
      </c>
      <c r="V66" t="s">
        <v>25</v>
      </c>
      <c r="W66" t="s">
        <v>224</v>
      </c>
      <c r="X66" t="s">
        <v>26</v>
      </c>
      <c r="Y66" t="s">
        <v>24</v>
      </c>
    </row>
    <row r="67" spans="1:25" x14ac:dyDescent="0.35">
      <c r="A67" s="1" t="s">
        <v>225</v>
      </c>
      <c r="B67" s="1" t="s">
        <v>226</v>
      </c>
      <c r="C67" s="1" t="s">
        <v>77</v>
      </c>
      <c r="D67" s="1" t="s">
        <v>78</v>
      </c>
      <c r="E67" s="2" t="s">
        <v>1969</v>
      </c>
      <c r="F67" s="2" t="s">
        <v>1911</v>
      </c>
      <c r="G67" s="6">
        <v>980</v>
      </c>
      <c r="H67" s="8">
        <f t="shared" si="2"/>
        <v>844.82758620689663</v>
      </c>
      <c r="I67" s="2">
        <v>16</v>
      </c>
      <c r="J67" s="2">
        <f t="shared" ref="J67:J130" si="3">1-M67/H67</f>
        <v>0.68751020408163266</v>
      </c>
      <c r="K67" t="s">
        <v>227</v>
      </c>
      <c r="L67">
        <v>2</v>
      </c>
      <c r="M67">
        <v>264</v>
      </c>
      <c r="N67">
        <v>264</v>
      </c>
      <c r="O67">
        <v>0</v>
      </c>
      <c r="P67">
        <v>528</v>
      </c>
      <c r="Q67">
        <v>2</v>
      </c>
      <c r="R67">
        <v>528</v>
      </c>
      <c r="S67" t="s">
        <v>24</v>
      </c>
      <c r="T67" t="s">
        <v>24</v>
      </c>
      <c r="U67" t="s">
        <v>24</v>
      </c>
      <c r="V67" t="s">
        <v>25</v>
      </c>
      <c r="W67" t="s">
        <v>227</v>
      </c>
      <c r="X67" t="s">
        <v>26</v>
      </c>
      <c r="Y67" t="s">
        <v>24</v>
      </c>
    </row>
    <row r="68" spans="1:25" x14ac:dyDescent="0.35">
      <c r="A68" s="1" t="s">
        <v>228</v>
      </c>
      <c r="B68" s="1" t="s">
        <v>229</v>
      </c>
      <c r="C68" s="1" t="s">
        <v>77</v>
      </c>
      <c r="D68" s="1" t="s">
        <v>78</v>
      </c>
      <c r="E68" s="2" t="s">
        <v>1970</v>
      </c>
      <c r="F68" s="2" t="s">
        <v>1911</v>
      </c>
      <c r="G68" s="6">
        <v>1580</v>
      </c>
      <c r="H68" s="8">
        <f t="shared" ref="H68:H131" si="4">+G68/(1+I68/100)</f>
        <v>1362.0689655172414</v>
      </c>
      <c r="I68" s="2">
        <v>16</v>
      </c>
      <c r="J68" s="2">
        <f t="shared" si="3"/>
        <v>0.69898734177215194</v>
      </c>
      <c r="K68" t="s">
        <v>230</v>
      </c>
      <c r="L68">
        <v>1</v>
      </c>
      <c r="M68">
        <v>410</v>
      </c>
      <c r="N68">
        <v>410</v>
      </c>
      <c r="O68">
        <v>0</v>
      </c>
      <c r="P68">
        <v>410</v>
      </c>
      <c r="Q68">
        <v>1</v>
      </c>
      <c r="R68">
        <v>410</v>
      </c>
      <c r="S68" t="s">
        <v>24</v>
      </c>
      <c r="T68" t="s">
        <v>24</v>
      </c>
      <c r="U68" t="s">
        <v>24</v>
      </c>
      <c r="V68" t="s">
        <v>25</v>
      </c>
      <c r="W68" t="s">
        <v>230</v>
      </c>
      <c r="X68" t="s">
        <v>26</v>
      </c>
      <c r="Y68" t="s">
        <v>24</v>
      </c>
    </row>
    <row r="69" spans="1:25" x14ac:dyDescent="0.35">
      <c r="A69" s="1" t="s">
        <v>231</v>
      </c>
      <c r="B69" s="1" t="s">
        <v>232</v>
      </c>
      <c r="C69" s="1" t="s">
        <v>21</v>
      </c>
      <c r="D69" s="1" t="s">
        <v>22</v>
      </c>
      <c r="E69" s="2" t="s">
        <v>1971</v>
      </c>
      <c r="F69" s="2" t="s">
        <v>1911</v>
      </c>
      <c r="G69" s="6">
        <v>1340</v>
      </c>
      <c r="H69" s="8">
        <f t="shared" si="4"/>
        <v>1155.1724137931035</v>
      </c>
      <c r="I69" s="2">
        <v>16</v>
      </c>
      <c r="J69" s="2">
        <f t="shared" si="3"/>
        <v>0.69894537313432836</v>
      </c>
      <c r="K69" t="s">
        <v>233</v>
      </c>
      <c r="L69">
        <v>1</v>
      </c>
      <c r="M69">
        <v>347.77</v>
      </c>
      <c r="N69">
        <v>347.77</v>
      </c>
      <c r="O69">
        <v>0</v>
      </c>
      <c r="P69">
        <v>347.77</v>
      </c>
      <c r="Q69">
        <v>1</v>
      </c>
      <c r="R69">
        <v>347.77</v>
      </c>
      <c r="S69" t="s">
        <v>24</v>
      </c>
      <c r="T69" t="s">
        <v>24</v>
      </c>
      <c r="U69" t="s">
        <v>24</v>
      </c>
      <c r="V69" t="s">
        <v>25</v>
      </c>
      <c r="W69" t="s">
        <v>233</v>
      </c>
      <c r="X69" t="s">
        <v>26</v>
      </c>
      <c r="Y69" t="s">
        <v>24</v>
      </c>
    </row>
    <row r="70" spans="1:25" x14ac:dyDescent="0.35">
      <c r="A70" s="1" t="s">
        <v>234</v>
      </c>
      <c r="B70" s="1" t="s">
        <v>235</v>
      </c>
      <c r="C70" s="1" t="s">
        <v>34</v>
      </c>
      <c r="D70" s="1" t="s">
        <v>35</v>
      </c>
      <c r="E70" s="2" t="s">
        <v>1972</v>
      </c>
      <c r="F70" s="2" t="s">
        <v>1911</v>
      </c>
      <c r="G70" s="6">
        <v>10180</v>
      </c>
      <c r="H70" s="8">
        <f t="shared" si="4"/>
        <v>8775.8620689655181</v>
      </c>
      <c r="I70" s="2">
        <v>16</v>
      </c>
      <c r="J70" s="2">
        <f t="shared" si="3"/>
        <v>0.69995087897838904</v>
      </c>
      <c r="K70" t="s">
        <v>236</v>
      </c>
      <c r="L70">
        <v>1</v>
      </c>
      <c r="M70">
        <v>2633.1896999999999</v>
      </c>
      <c r="N70">
        <v>2633.1896999999999</v>
      </c>
      <c r="O70">
        <v>0</v>
      </c>
      <c r="P70">
        <v>2633.1896999999999</v>
      </c>
      <c r="Q70">
        <v>1</v>
      </c>
      <c r="R70">
        <v>2633.19</v>
      </c>
      <c r="S70" t="s">
        <v>24</v>
      </c>
      <c r="T70" t="s">
        <v>24</v>
      </c>
      <c r="U70" t="s">
        <v>24</v>
      </c>
      <c r="V70" t="s">
        <v>25</v>
      </c>
      <c r="W70" t="s">
        <v>236</v>
      </c>
      <c r="X70" t="s">
        <v>26</v>
      </c>
      <c r="Y70" t="s">
        <v>24</v>
      </c>
    </row>
    <row r="71" spans="1:25" x14ac:dyDescent="0.35">
      <c r="A71" s="1" t="s">
        <v>237</v>
      </c>
      <c r="B71" s="1" t="s">
        <v>238</v>
      </c>
      <c r="C71" s="1" t="s">
        <v>239</v>
      </c>
      <c r="D71" s="1" t="s">
        <v>240</v>
      </c>
      <c r="E71" s="2" t="s">
        <v>1973</v>
      </c>
      <c r="F71" s="2" t="s">
        <v>1913</v>
      </c>
      <c r="G71" s="6">
        <v>300</v>
      </c>
      <c r="H71" s="8">
        <f t="shared" si="4"/>
        <v>258.62068965517244</v>
      </c>
      <c r="I71" s="2">
        <v>16</v>
      </c>
      <c r="J71" s="2">
        <f t="shared" si="3"/>
        <v>0.76529333333333338</v>
      </c>
      <c r="K71" t="s">
        <v>241</v>
      </c>
      <c r="L71">
        <v>1</v>
      </c>
      <c r="M71">
        <v>60.7</v>
      </c>
      <c r="N71">
        <v>60.7</v>
      </c>
      <c r="O71">
        <v>0</v>
      </c>
      <c r="P71">
        <v>60.7</v>
      </c>
      <c r="Q71">
        <v>1</v>
      </c>
      <c r="R71">
        <v>60.7</v>
      </c>
      <c r="S71" t="s">
        <v>24</v>
      </c>
      <c r="T71" t="s">
        <v>24</v>
      </c>
      <c r="U71" t="s">
        <v>24</v>
      </c>
      <c r="V71" t="s">
        <v>25</v>
      </c>
      <c r="W71" t="s">
        <v>241</v>
      </c>
      <c r="X71" t="s">
        <v>26</v>
      </c>
      <c r="Y71" t="s">
        <v>24</v>
      </c>
    </row>
    <row r="72" spans="1:25" x14ac:dyDescent="0.35">
      <c r="A72" s="1" t="s">
        <v>242</v>
      </c>
      <c r="B72" s="1" t="s">
        <v>243</v>
      </c>
      <c r="C72" s="1" t="s">
        <v>244</v>
      </c>
      <c r="D72" s="1" t="s">
        <v>245</v>
      </c>
      <c r="E72" s="2" t="s">
        <v>1974</v>
      </c>
      <c r="F72" s="2" t="s">
        <v>1975</v>
      </c>
      <c r="G72" s="6">
        <v>580</v>
      </c>
      <c r="H72" s="8">
        <f t="shared" si="4"/>
        <v>500.00000000000006</v>
      </c>
      <c r="I72" s="2">
        <v>16</v>
      </c>
      <c r="J72" s="2">
        <f t="shared" si="3"/>
        <v>0.4900000000000001</v>
      </c>
      <c r="K72" t="s">
        <v>246</v>
      </c>
      <c r="L72">
        <v>1</v>
      </c>
      <c r="M72">
        <v>255</v>
      </c>
      <c r="N72">
        <v>255</v>
      </c>
      <c r="O72">
        <v>0</v>
      </c>
      <c r="P72">
        <v>255</v>
      </c>
      <c r="Q72">
        <v>1</v>
      </c>
      <c r="R72">
        <v>255</v>
      </c>
      <c r="S72" t="s">
        <v>24</v>
      </c>
      <c r="T72" t="s">
        <v>24</v>
      </c>
      <c r="U72" t="s">
        <v>24</v>
      </c>
      <c r="V72" t="s">
        <v>25</v>
      </c>
      <c r="W72" t="s">
        <v>246</v>
      </c>
      <c r="X72" t="s">
        <v>26</v>
      </c>
      <c r="Y72" t="s">
        <v>24</v>
      </c>
    </row>
    <row r="73" spans="1:25" x14ac:dyDescent="0.35">
      <c r="A73" s="1" t="s">
        <v>247</v>
      </c>
      <c r="B73" s="1" t="s">
        <v>248</v>
      </c>
      <c r="C73" s="1" t="s">
        <v>249</v>
      </c>
      <c r="D73" s="1" t="s">
        <v>250</v>
      </c>
      <c r="E73" s="2" t="s">
        <v>1976</v>
      </c>
      <c r="F73" s="2" t="s">
        <v>1975</v>
      </c>
      <c r="G73" s="6">
        <v>180</v>
      </c>
      <c r="H73" s="8">
        <f t="shared" si="4"/>
        <v>155.17241379310346</v>
      </c>
      <c r="I73" s="2">
        <v>16</v>
      </c>
      <c r="J73" s="2">
        <f t="shared" si="3"/>
        <v>0.16866666666666674</v>
      </c>
      <c r="K73" t="s">
        <v>251</v>
      </c>
      <c r="L73">
        <v>1</v>
      </c>
      <c r="M73">
        <v>129</v>
      </c>
      <c r="N73">
        <v>129</v>
      </c>
      <c r="O73">
        <v>0</v>
      </c>
      <c r="P73">
        <v>129</v>
      </c>
      <c r="Q73">
        <v>1</v>
      </c>
      <c r="R73">
        <v>129</v>
      </c>
      <c r="S73" t="s">
        <v>24</v>
      </c>
      <c r="T73" t="s">
        <v>24</v>
      </c>
      <c r="U73" t="s">
        <v>24</v>
      </c>
      <c r="V73" t="s">
        <v>25</v>
      </c>
      <c r="W73" t="s">
        <v>251</v>
      </c>
      <c r="X73" t="s">
        <v>26</v>
      </c>
      <c r="Y73" t="s">
        <v>24</v>
      </c>
    </row>
    <row r="74" spans="1:25" x14ac:dyDescent="0.35">
      <c r="A74" s="1" t="s">
        <v>252</v>
      </c>
      <c r="B74" s="1" t="s">
        <v>253</v>
      </c>
      <c r="C74" s="1" t="s">
        <v>254</v>
      </c>
      <c r="D74" s="1" t="s">
        <v>255</v>
      </c>
      <c r="E74" s="2" t="s">
        <v>1977</v>
      </c>
      <c r="F74" s="2" t="s">
        <v>1975</v>
      </c>
      <c r="G74" s="6">
        <v>380</v>
      </c>
      <c r="H74" s="8">
        <f t="shared" si="4"/>
        <v>327.58620689655174</v>
      </c>
      <c r="I74" s="2">
        <v>16</v>
      </c>
      <c r="J74" s="2">
        <f t="shared" si="3"/>
        <v>0.72526315789473683</v>
      </c>
      <c r="K74" t="s">
        <v>256</v>
      </c>
      <c r="L74">
        <v>1</v>
      </c>
      <c r="M74">
        <v>90</v>
      </c>
      <c r="N74">
        <v>90</v>
      </c>
      <c r="O74">
        <v>0</v>
      </c>
      <c r="P74">
        <v>90</v>
      </c>
      <c r="Q74">
        <v>1</v>
      </c>
      <c r="R74">
        <v>90</v>
      </c>
      <c r="S74" t="s">
        <v>24</v>
      </c>
      <c r="T74" t="s">
        <v>24</v>
      </c>
      <c r="U74" t="s">
        <v>24</v>
      </c>
      <c r="V74" t="s">
        <v>25</v>
      </c>
      <c r="W74" t="s">
        <v>256</v>
      </c>
      <c r="X74" t="s">
        <v>26</v>
      </c>
      <c r="Y74" t="s">
        <v>24</v>
      </c>
    </row>
    <row r="75" spans="1:25" x14ac:dyDescent="0.35">
      <c r="A75" s="1" t="s">
        <v>257</v>
      </c>
      <c r="B75" s="1" t="s">
        <v>258</v>
      </c>
      <c r="C75" s="1" t="s">
        <v>254</v>
      </c>
      <c r="D75" s="1" t="s">
        <v>255</v>
      </c>
      <c r="E75" s="2" t="s">
        <v>1978</v>
      </c>
      <c r="F75" s="2" t="s">
        <v>1975</v>
      </c>
      <c r="G75" s="6">
        <v>380</v>
      </c>
      <c r="H75" s="8">
        <f t="shared" si="4"/>
        <v>327.58620689655174</v>
      </c>
      <c r="I75" s="2">
        <v>16</v>
      </c>
      <c r="J75" s="2">
        <f t="shared" si="3"/>
        <v>0.72526315789473683</v>
      </c>
      <c r="K75" t="s">
        <v>259</v>
      </c>
      <c r="L75">
        <v>2</v>
      </c>
      <c r="M75">
        <v>90</v>
      </c>
      <c r="N75">
        <v>90</v>
      </c>
      <c r="O75">
        <v>0</v>
      </c>
      <c r="P75">
        <v>180</v>
      </c>
      <c r="Q75">
        <v>2</v>
      </c>
      <c r="R75">
        <v>180</v>
      </c>
      <c r="S75" t="s">
        <v>24</v>
      </c>
      <c r="T75" t="s">
        <v>24</v>
      </c>
      <c r="U75" t="s">
        <v>24</v>
      </c>
      <c r="V75" t="s">
        <v>25</v>
      </c>
      <c r="W75" t="s">
        <v>259</v>
      </c>
      <c r="X75" t="s">
        <v>26</v>
      </c>
      <c r="Y75" t="s">
        <v>24</v>
      </c>
    </row>
    <row r="76" spans="1:25" x14ac:dyDescent="0.35">
      <c r="A76" s="1" t="s">
        <v>260</v>
      </c>
      <c r="B76" s="1" t="s">
        <v>261</v>
      </c>
      <c r="C76" s="1" t="s">
        <v>249</v>
      </c>
      <c r="D76" s="1" t="s">
        <v>250</v>
      </c>
      <c r="E76" s="2" t="s">
        <v>1979</v>
      </c>
      <c r="F76" s="2" t="s">
        <v>1975</v>
      </c>
      <c r="G76" s="6">
        <v>980</v>
      </c>
      <c r="H76" s="8">
        <f t="shared" si="4"/>
        <v>844.82758620689663</v>
      </c>
      <c r="I76" s="2">
        <v>16</v>
      </c>
      <c r="J76" s="2">
        <f t="shared" si="3"/>
        <v>0.69882079591836743</v>
      </c>
      <c r="K76" t="s">
        <v>262</v>
      </c>
      <c r="L76">
        <v>4</v>
      </c>
      <c r="M76">
        <v>254.44450000000001</v>
      </c>
      <c r="N76">
        <v>254.44450000000001</v>
      </c>
      <c r="O76">
        <v>0</v>
      </c>
      <c r="P76">
        <v>1017.778</v>
      </c>
      <c r="Q76">
        <v>4</v>
      </c>
      <c r="R76">
        <v>1017.78</v>
      </c>
      <c r="S76" t="s">
        <v>24</v>
      </c>
      <c r="T76" t="s">
        <v>24</v>
      </c>
      <c r="U76" t="s">
        <v>24</v>
      </c>
      <c r="V76" t="s">
        <v>25</v>
      </c>
      <c r="W76" t="s">
        <v>262</v>
      </c>
      <c r="X76" t="s">
        <v>26</v>
      </c>
      <c r="Y76" t="s">
        <v>24</v>
      </c>
    </row>
    <row r="77" spans="1:25" x14ac:dyDescent="0.35">
      <c r="A77" s="1" t="s">
        <v>263</v>
      </c>
      <c r="B77" s="1" t="s">
        <v>264</v>
      </c>
      <c r="C77" s="1" t="s">
        <v>265</v>
      </c>
      <c r="D77" s="1" t="s">
        <v>266</v>
      </c>
      <c r="E77" s="2" t="s">
        <v>1980</v>
      </c>
      <c r="F77" s="2" t="s">
        <v>1975</v>
      </c>
      <c r="G77" s="6">
        <v>740</v>
      </c>
      <c r="H77" s="8">
        <f t="shared" si="4"/>
        <v>637.93103448275872</v>
      </c>
      <c r="I77" s="2">
        <v>16</v>
      </c>
      <c r="J77" s="2">
        <f t="shared" si="3"/>
        <v>0.77270270270270269</v>
      </c>
      <c r="K77" t="s">
        <v>267</v>
      </c>
      <c r="L77">
        <v>1</v>
      </c>
      <c r="M77">
        <v>145</v>
      </c>
      <c r="N77">
        <v>145</v>
      </c>
      <c r="O77">
        <v>0</v>
      </c>
      <c r="P77">
        <v>145</v>
      </c>
      <c r="Q77">
        <v>1</v>
      </c>
      <c r="R77">
        <v>145</v>
      </c>
      <c r="S77" t="s">
        <v>24</v>
      </c>
      <c r="T77" t="s">
        <v>24</v>
      </c>
      <c r="U77" t="s">
        <v>24</v>
      </c>
      <c r="V77" t="s">
        <v>25</v>
      </c>
      <c r="W77" t="s">
        <v>267</v>
      </c>
      <c r="X77" t="s">
        <v>26</v>
      </c>
      <c r="Y77" t="s">
        <v>24</v>
      </c>
    </row>
    <row r="78" spans="1:25" x14ac:dyDescent="0.35">
      <c r="A78" s="1" t="s">
        <v>268</v>
      </c>
      <c r="B78" s="1" t="s">
        <v>269</v>
      </c>
      <c r="C78" s="1" t="s">
        <v>265</v>
      </c>
      <c r="D78" s="1" t="s">
        <v>266</v>
      </c>
      <c r="E78" s="2" t="s">
        <v>1981</v>
      </c>
      <c r="F78" s="2" t="s">
        <v>1975</v>
      </c>
      <c r="G78" s="6">
        <v>780</v>
      </c>
      <c r="H78" s="8">
        <f t="shared" si="4"/>
        <v>672.41379310344837</v>
      </c>
      <c r="I78" s="2">
        <v>16</v>
      </c>
      <c r="J78" s="2">
        <f t="shared" si="3"/>
        <v>0.78435897435897439</v>
      </c>
      <c r="K78" t="s">
        <v>270</v>
      </c>
      <c r="L78">
        <v>3</v>
      </c>
      <c r="M78">
        <v>145</v>
      </c>
      <c r="N78">
        <v>145</v>
      </c>
      <c r="O78">
        <v>0</v>
      </c>
      <c r="P78">
        <v>435</v>
      </c>
      <c r="Q78">
        <v>3</v>
      </c>
      <c r="R78">
        <v>435</v>
      </c>
      <c r="S78" t="s">
        <v>24</v>
      </c>
      <c r="T78" t="s">
        <v>24</v>
      </c>
      <c r="U78" t="s">
        <v>24</v>
      </c>
      <c r="V78" t="s">
        <v>25</v>
      </c>
      <c r="W78" t="s">
        <v>270</v>
      </c>
      <c r="X78" t="s">
        <v>26</v>
      </c>
      <c r="Y78" t="s">
        <v>24</v>
      </c>
    </row>
    <row r="79" spans="1:25" x14ac:dyDescent="0.35">
      <c r="A79" s="1" t="s">
        <v>271</v>
      </c>
      <c r="B79" s="1" t="s">
        <v>272</v>
      </c>
      <c r="C79" s="1" t="s">
        <v>265</v>
      </c>
      <c r="D79" s="1" t="s">
        <v>266</v>
      </c>
      <c r="E79" s="2" t="s">
        <v>1982</v>
      </c>
      <c r="F79" s="2" t="s">
        <v>1975</v>
      </c>
      <c r="G79" s="6">
        <v>780</v>
      </c>
      <c r="H79" s="8">
        <f t="shared" si="4"/>
        <v>672.41379310344837</v>
      </c>
      <c r="I79" s="2">
        <v>16</v>
      </c>
      <c r="J79" s="2">
        <f t="shared" si="3"/>
        <v>0.78435897435897439</v>
      </c>
      <c r="K79" t="s">
        <v>273</v>
      </c>
      <c r="L79">
        <v>1</v>
      </c>
      <c r="M79">
        <v>145</v>
      </c>
      <c r="N79">
        <v>145</v>
      </c>
      <c r="O79">
        <v>0</v>
      </c>
      <c r="P79">
        <v>145</v>
      </c>
      <c r="Q79">
        <v>1</v>
      </c>
      <c r="R79">
        <v>145</v>
      </c>
      <c r="S79" t="s">
        <v>24</v>
      </c>
      <c r="T79" t="s">
        <v>24</v>
      </c>
      <c r="U79" t="s">
        <v>24</v>
      </c>
      <c r="V79" t="s">
        <v>25</v>
      </c>
      <c r="W79" t="s">
        <v>273</v>
      </c>
      <c r="X79" t="s">
        <v>26</v>
      </c>
      <c r="Y79" t="s">
        <v>24</v>
      </c>
    </row>
    <row r="80" spans="1:25" x14ac:dyDescent="0.35">
      <c r="A80" s="1" t="s">
        <v>274</v>
      </c>
      <c r="B80" s="1" t="s">
        <v>275</v>
      </c>
      <c r="C80" s="1" t="s">
        <v>265</v>
      </c>
      <c r="D80" s="1" t="s">
        <v>266</v>
      </c>
      <c r="E80" s="2" t="s">
        <v>1983</v>
      </c>
      <c r="F80" s="2" t="s">
        <v>1975</v>
      </c>
      <c r="G80" s="6">
        <v>540</v>
      </c>
      <c r="H80" s="8">
        <f t="shared" si="4"/>
        <v>465.51724137931035</v>
      </c>
      <c r="I80" s="2">
        <v>16</v>
      </c>
      <c r="J80" s="2">
        <f t="shared" si="3"/>
        <v>0.68851851851851853</v>
      </c>
      <c r="K80" t="s">
        <v>276</v>
      </c>
      <c r="L80">
        <v>1</v>
      </c>
      <c r="M80">
        <v>145</v>
      </c>
      <c r="N80">
        <v>145</v>
      </c>
      <c r="O80">
        <v>0</v>
      </c>
      <c r="P80">
        <v>145</v>
      </c>
      <c r="Q80">
        <v>1</v>
      </c>
      <c r="R80">
        <v>145</v>
      </c>
      <c r="S80" t="s">
        <v>24</v>
      </c>
      <c r="T80" t="s">
        <v>24</v>
      </c>
      <c r="U80" t="s">
        <v>24</v>
      </c>
      <c r="V80" t="s">
        <v>25</v>
      </c>
      <c r="W80" t="s">
        <v>276</v>
      </c>
      <c r="X80" t="s">
        <v>26</v>
      </c>
      <c r="Y80" t="s">
        <v>24</v>
      </c>
    </row>
    <row r="81" spans="1:25" x14ac:dyDescent="0.35">
      <c r="A81" s="1" t="s">
        <v>277</v>
      </c>
      <c r="B81" s="1" t="s">
        <v>278</v>
      </c>
      <c r="C81" s="1" t="s">
        <v>265</v>
      </c>
      <c r="D81" s="1" t="s">
        <v>266</v>
      </c>
      <c r="E81" s="2" t="s">
        <v>1984</v>
      </c>
      <c r="F81" s="2" t="s">
        <v>1975</v>
      </c>
      <c r="G81" s="6">
        <v>580</v>
      </c>
      <c r="H81" s="8">
        <f t="shared" si="4"/>
        <v>500.00000000000006</v>
      </c>
      <c r="I81" s="2">
        <v>16</v>
      </c>
      <c r="J81" s="2">
        <f t="shared" si="3"/>
        <v>0.71</v>
      </c>
      <c r="K81" t="s">
        <v>279</v>
      </c>
      <c r="L81">
        <v>2</v>
      </c>
      <c r="M81">
        <v>145</v>
      </c>
      <c r="N81">
        <v>145</v>
      </c>
      <c r="O81">
        <v>0</v>
      </c>
      <c r="P81">
        <v>290</v>
      </c>
      <c r="Q81">
        <v>2</v>
      </c>
      <c r="R81">
        <v>290</v>
      </c>
      <c r="S81" t="s">
        <v>24</v>
      </c>
      <c r="T81" t="s">
        <v>24</v>
      </c>
      <c r="U81" t="s">
        <v>24</v>
      </c>
      <c r="V81" t="s">
        <v>25</v>
      </c>
      <c r="W81" t="s">
        <v>279</v>
      </c>
      <c r="X81" t="s">
        <v>26</v>
      </c>
      <c r="Y81" t="s">
        <v>24</v>
      </c>
    </row>
    <row r="82" spans="1:25" x14ac:dyDescent="0.35">
      <c r="A82" s="1" t="s">
        <v>280</v>
      </c>
      <c r="B82" s="1" t="s">
        <v>281</v>
      </c>
      <c r="C82" s="1" t="s">
        <v>282</v>
      </c>
      <c r="D82" s="1" t="s">
        <v>283</v>
      </c>
      <c r="E82" s="2" t="s">
        <v>1985</v>
      </c>
      <c r="F82" s="2" t="s">
        <v>1975</v>
      </c>
      <c r="G82" s="6">
        <v>740</v>
      </c>
      <c r="H82" s="8">
        <f t="shared" si="4"/>
        <v>637.93103448275872</v>
      </c>
      <c r="I82" s="2">
        <v>16</v>
      </c>
      <c r="J82" s="2">
        <f t="shared" si="3"/>
        <v>0.76486486486486494</v>
      </c>
      <c r="K82" t="s">
        <v>284</v>
      </c>
      <c r="L82">
        <v>1</v>
      </c>
      <c r="M82">
        <v>150</v>
      </c>
      <c r="N82">
        <v>150</v>
      </c>
      <c r="O82">
        <v>0</v>
      </c>
      <c r="P82">
        <v>150</v>
      </c>
      <c r="Q82">
        <v>1</v>
      </c>
      <c r="R82">
        <v>150</v>
      </c>
      <c r="S82" t="s">
        <v>24</v>
      </c>
      <c r="T82" t="s">
        <v>24</v>
      </c>
      <c r="U82" t="s">
        <v>24</v>
      </c>
      <c r="V82" t="s">
        <v>25</v>
      </c>
      <c r="W82" t="s">
        <v>284</v>
      </c>
      <c r="X82" t="s">
        <v>26</v>
      </c>
      <c r="Y82" t="s">
        <v>24</v>
      </c>
    </row>
    <row r="83" spans="1:25" x14ac:dyDescent="0.35">
      <c r="A83" s="1" t="s">
        <v>285</v>
      </c>
      <c r="B83" s="1" t="s">
        <v>286</v>
      </c>
      <c r="C83" s="1" t="s">
        <v>287</v>
      </c>
      <c r="D83" s="1" t="s">
        <v>288</v>
      </c>
      <c r="E83" s="2" t="s">
        <v>1986</v>
      </c>
      <c r="F83" s="2" t="s">
        <v>1975</v>
      </c>
      <c r="G83" s="6">
        <v>680</v>
      </c>
      <c r="H83" s="8">
        <f t="shared" si="4"/>
        <v>586.20689655172418</v>
      </c>
      <c r="I83" s="2">
        <v>16</v>
      </c>
      <c r="J83" s="2">
        <f t="shared" si="3"/>
        <v>0.65882352941176481</v>
      </c>
      <c r="K83" t="s">
        <v>289</v>
      </c>
      <c r="L83">
        <v>1</v>
      </c>
      <c r="M83">
        <v>200</v>
      </c>
      <c r="N83">
        <v>0</v>
      </c>
      <c r="O83">
        <v>0</v>
      </c>
      <c r="P83">
        <v>200</v>
      </c>
      <c r="Q83">
        <v>1</v>
      </c>
      <c r="R83">
        <v>200</v>
      </c>
      <c r="S83" t="s">
        <v>24</v>
      </c>
      <c r="T83" t="s">
        <v>24</v>
      </c>
      <c r="U83" t="s">
        <v>24</v>
      </c>
      <c r="V83" t="s">
        <v>25</v>
      </c>
      <c r="W83" t="s">
        <v>289</v>
      </c>
      <c r="X83" t="s">
        <v>26</v>
      </c>
      <c r="Y83" t="s">
        <v>24</v>
      </c>
    </row>
    <row r="84" spans="1:25" x14ac:dyDescent="0.35">
      <c r="A84" s="1" t="s">
        <v>290</v>
      </c>
      <c r="B84" s="1" t="s">
        <v>291</v>
      </c>
      <c r="C84" s="1" t="s">
        <v>292</v>
      </c>
      <c r="D84" s="1" t="s">
        <v>293</v>
      </c>
      <c r="E84" s="2" t="s">
        <v>1987</v>
      </c>
      <c r="F84" s="2" t="s">
        <v>1975</v>
      </c>
      <c r="G84" s="6">
        <v>300</v>
      </c>
      <c r="H84" s="8">
        <f t="shared" si="4"/>
        <v>258.62068965517244</v>
      </c>
      <c r="I84" s="2">
        <v>16</v>
      </c>
      <c r="J84" s="2">
        <f t="shared" si="3"/>
        <v>0.71386666666666665</v>
      </c>
      <c r="K84" t="s">
        <v>294</v>
      </c>
      <c r="L84">
        <v>3</v>
      </c>
      <c r="M84">
        <v>74</v>
      </c>
      <c r="N84">
        <v>74</v>
      </c>
      <c r="O84">
        <v>0</v>
      </c>
      <c r="P84">
        <v>222</v>
      </c>
      <c r="Q84">
        <v>3</v>
      </c>
      <c r="R84">
        <v>222</v>
      </c>
      <c r="S84" t="s">
        <v>24</v>
      </c>
      <c r="T84" t="s">
        <v>24</v>
      </c>
      <c r="U84" t="s">
        <v>24</v>
      </c>
      <c r="V84" t="s">
        <v>25</v>
      </c>
      <c r="W84" t="s">
        <v>294</v>
      </c>
      <c r="X84" t="s">
        <v>26</v>
      </c>
      <c r="Y84" t="s">
        <v>24</v>
      </c>
    </row>
    <row r="85" spans="1:25" x14ac:dyDescent="0.35">
      <c r="A85" s="1" t="s">
        <v>290</v>
      </c>
      <c r="B85" s="1" t="s">
        <v>291</v>
      </c>
      <c r="C85" s="1" t="s">
        <v>295</v>
      </c>
      <c r="D85" s="1" t="s">
        <v>296</v>
      </c>
      <c r="E85" s="2" t="s">
        <v>1987</v>
      </c>
      <c r="F85" s="2" t="s">
        <v>1975</v>
      </c>
      <c r="G85" s="6">
        <v>300</v>
      </c>
      <c r="H85" s="8">
        <f t="shared" si="4"/>
        <v>258.62068965517244</v>
      </c>
      <c r="I85" s="2">
        <v>16</v>
      </c>
      <c r="J85" s="2">
        <f t="shared" si="3"/>
        <v>0.71386666666666665</v>
      </c>
      <c r="K85" t="s">
        <v>297</v>
      </c>
      <c r="L85">
        <v>12</v>
      </c>
      <c r="M85">
        <v>74</v>
      </c>
      <c r="N85">
        <v>74</v>
      </c>
      <c r="O85">
        <v>0</v>
      </c>
      <c r="P85">
        <v>888</v>
      </c>
      <c r="Q85">
        <v>12</v>
      </c>
      <c r="R85">
        <v>888</v>
      </c>
      <c r="S85" t="s">
        <v>24</v>
      </c>
      <c r="T85" t="s">
        <v>24</v>
      </c>
      <c r="U85" t="s">
        <v>24</v>
      </c>
      <c r="V85" t="s">
        <v>25</v>
      </c>
      <c r="W85" t="s">
        <v>297</v>
      </c>
      <c r="X85" t="s">
        <v>26</v>
      </c>
      <c r="Y85" t="s">
        <v>24</v>
      </c>
    </row>
    <row r="86" spans="1:25" x14ac:dyDescent="0.35">
      <c r="A86" s="1" t="s">
        <v>298</v>
      </c>
      <c r="B86" s="1" t="s">
        <v>299</v>
      </c>
      <c r="C86" s="1" t="s">
        <v>254</v>
      </c>
      <c r="D86" s="1" t="s">
        <v>255</v>
      </c>
      <c r="E86" s="2" t="s">
        <v>1988</v>
      </c>
      <c r="F86" s="2" t="s">
        <v>1975</v>
      </c>
      <c r="G86" s="6">
        <v>380</v>
      </c>
      <c r="H86" s="8">
        <f t="shared" si="4"/>
        <v>327.58620689655174</v>
      </c>
      <c r="I86" s="2">
        <v>16</v>
      </c>
      <c r="J86" s="2">
        <f t="shared" si="3"/>
        <v>0.72526315789473683</v>
      </c>
      <c r="K86" t="s">
        <v>300</v>
      </c>
      <c r="L86">
        <v>1</v>
      </c>
      <c r="M86">
        <v>90</v>
      </c>
      <c r="N86">
        <v>90</v>
      </c>
      <c r="O86">
        <v>0</v>
      </c>
      <c r="P86">
        <v>90</v>
      </c>
      <c r="Q86">
        <v>1</v>
      </c>
      <c r="R86">
        <v>90</v>
      </c>
      <c r="S86" t="s">
        <v>24</v>
      </c>
      <c r="T86" t="s">
        <v>24</v>
      </c>
      <c r="U86" t="s">
        <v>24</v>
      </c>
      <c r="V86" t="s">
        <v>25</v>
      </c>
      <c r="W86" t="s">
        <v>300</v>
      </c>
      <c r="X86" t="s">
        <v>26</v>
      </c>
      <c r="Y86" t="s">
        <v>24</v>
      </c>
    </row>
    <row r="87" spans="1:25" x14ac:dyDescent="0.35">
      <c r="A87" s="1" t="s">
        <v>301</v>
      </c>
      <c r="B87" s="1" t="s">
        <v>302</v>
      </c>
      <c r="C87" s="1" t="s">
        <v>254</v>
      </c>
      <c r="D87" s="1" t="s">
        <v>255</v>
      </c>
      <c r="E87" s="2" t="s">
        <v>1989</v>
      </c>
      <c r="F87" s="2" t="s">
        <v>1975</v>
      </c>
      <c r="G87" s="6">
        <v>380</v>
      </c>
      <c r="H87" s="8">
        <f t="shared" si="4"/>
        <v>327.58620689655174</v>
      </c>
      <c r="I87" s="2">
        <v>16</v>
      </c>
      <c r="J87" s="2">
        <f t="shared" si="3"/>
        <v>0.72526315789473683</v>
      </c>
      <c r="K87" t="s">
        <v>303</v>
      </c>
      <c r="L87">
        <v>1</v>
      </c>
      <c r="M87">
        <v>90</v>
      </c>
      <c r="N87">
        <v>90</v>
      </c>
      <c r="O87">
        <v>0</v>
      </c>
      <c r="P87">
        <v>90</v>
      </c>
      <c r="Q87">
        <v>1</v>
      </c>
      <c r="R87">
        <v>90</v>
      </c>
      <c r="S87" t="s">
        <v>24</v>
      </c>
      <c r="T87" t="s">
        <v>24</v>
      </c>
      <c r="U87" t="s">
        <v>24</v>
      </c>
      <c r="V87" t="s">
        <v>25</v>
      </c>
      <c r="W87" t="s">
        <v>303</v>
      </c>
      <c r="X87" t="s">
        <v>26</v>
      </c>
      <c r="Y87" t="s">
        <v>24</v>
      </c>
    </row>
    <row r="88" spans="1:25" x14ac:dyDescent="0.35">
      <c r="A88" s="1" t="s">
        <v>304</v>
      </c>
      <c r="B88" s="1" t="s">
        <v>305</v>
      </c>
      <c r="C88" s="1" t="s">
        <v>249</v>
      </c>
      <c r="D88" s="1" t="s">
        <v>250</v>
      </c>
      <c r="E88" s="2" t="s">
        <v>1990</v>
      </c>
      <c r="F88" s="2" t="s">
        <v>1975</v>
      </c>
      <c r="G88" s="6">
        <v>640</v>
      </c>
      <c r="H88" s="8">
        <f t="shared" si="4"/>
        <v>551.72413793103453</v>
      </c>
      <c r="I88" s="2">
        <v>16</v>
      </c>
      <c r="J88" s="2">
        <f t="shared" si="3"/>
        <v>0.71</v>
      </c>
      <c r="K88" t="s">
        <v>306</v>
      </c>
      <c r="L88">
        <v>1</v>
      </c>
      <c r="M88">
        <v>160</v>
      </c>
      <c r="N88">
        <v>160</v>
      </c>
      <c r="O88">
        <v>0</v>
      </c>
      <c r="P88">
        <v>160</v>
      </c>
      <c r="Q88">
        <v>1</v>
      </c>
      <c r="R88">
        <v>160</v>
      </c>
      <c r="S88" t="s">
        <v>24</v>
      </c>
      <c r="T88" t="s">
        <v>24</v>
      </c>
      <c r="U88" t="s">
        <v>24</v>
      </c>
      <c r="V88" t="s">
        <v>25</v>
      </c>
      <c r="W88" t="s">
        <v>306</v>
      </c>
      <c r="X88" t="s">
        <v>26</v>
      </c>
      <c r="Y88" t="s">
        <v>24</v>
      </c>
    </row>
    <row r="89" spans="1:25" x14ac:dyDescent="0.35">
      <c r="A89" s="1" t="s">
        <v>307</v>
      </c>
      <c r="B89" s="1" t="s">
        <v>308</v>
      </c>
      <c r="C89" s="1" t="s">
        <v>254</v>
      </c>
      <c r="D89" s="1" t="s">
        <v>255</v>
      </c>
      <c r="E89" s="2" t="s">
        <v>1991</v>
      </c>
      <c r="F89" s="2" t="s">
        <v>1975</v>
      </c>
      <c r="G89" s="6">
        <v>780</v>
      </c>
      <c r="H89" s="8">
        <f t="shared" si="4"/>
        <v>672.41379310344837</v>
      </c>
      <c r="I89" s="2">
        <v>16</v>
      </c>
      <c r="J89" s="2">
        <f t="shared" si="3"/>
        <v>0.78435897435897439</v>
      </c>
      <c r="K89" t="s">
        <v>309</v>
      </c>
      <c r="L89">
        <v>1</v>
      </c>
      <c r="M89">
        <v>145</v>
      </c>
      <c r="N89">
        <v>145</v>
      </c>
      <c r="O89">
        <v>0</v>
      </c>
      <c r="P89">
        <v>145</v>
      </c>
      <c r="Q89">
        <v>1</v>
      </c>
      <c r="R89">
        <v>145</v>
      </c>
      <c r="S89" t="s">
        <v>24</v>
      </c>
      <c r="T89" t="s">
        <v>24</v>
      </c>
      <c r="U89" t="s">
        <v>24</v>
      </c>
      <c r="V89" t="s">
        <v>25</v>
      </c>
      <c r="W89" t="s">
        <v>309</v>
      </c>
      <c r="X89" t="s">
        <v>26</v>
      </c>
      <c r="Y89" t="s">
        <v>24</v>
      </c>
    </row>
    <row r="90" spans="1:25" x14ac:dyDescent="0.35">
      <c r="A90" s="1" t="s">
        <v>310</v>
      </c>
      <c r="B90" s="1" t="s">
        <v>311</v>
      </c>
      <c r="C90" s="1" t="s">
        <v>265</v>
      </c>
      <c r="D90" s="1" t="s">
        <v>266</v>
      </c>
      <c r="E90" s="2" t="s">
        <v>1992</v>
      </c>
      <c r="F90" s="2" t="s">
        <v>1975</v>
      </c>
      <c r="G90" s="6">
        <v>780</v>
      </c>
      <c r="H90" s="8">
        <f t="shared" si="4"/>
        <v>672.41379310344837</v>
      </c>
      <c r="I90" s="2">
        <v>16</v>
      </c>
      <c r="J90" s="2">
        <f t="shared" si="3"/>
        <v>0.78435897435897439</v>
      </c>
      <c r="K90" t="s">
        <v>312</v>
      </c>
      <c r="L90">
        <v>2</v>
      </c>
      <c r="M90">
        <v>145</v>
      </c>
      <c r="N90">
        <v>145</v>
      </c>
      <c r="O90">
        <v>0</v>
      </c>
      <c r="P90">
        <v>290</v>
      </c>
      <c r="Q90">
        <v>2</v>
      </c>
      <c r="R90">
        <v>290</v>
      </c>
      <c r="S90" t="s">
        <v>24</v>
      </c>
      <c r="T90" t="s">
        <v>24</v>
      </c>
      <c r="U90" t="s">
        <v>24</v>
      </c>
      <c r="V90" t="s">
        <v>25</v>
      </c>
      <c r="W90" t="s">
        <v>312</v>
      </c>
      <c r="X90" t="s">
        <v>26</v>
      </c>
      <c r="Y90" t="s">
        <v>24</v>
      </c>
    </row>
    <row r="91" spans="1:25" x14ac:dyDescent="0.35">
      <c r="A91" s="1" t="s">
        <v>313</v>
      </c>
      <c r="B91" s="1" t="s">
        <v>314</v>
      </c>
      <c r="C91" s="1" t="s">
        <v>315</v>
      </c>
      <c r="D91" s="1" t="s">
        <v>316</v>
      </c>
      <c r="E91" s="2" t="s">
        <v>1993</v>
      </c>
      <c r="F91" s="2" t="s">
        <v>1994</v>
      </c>
      <c r="G91" s="6">
        <v>100</v>
      </c>
      <c r="H91" s="8">
        <f t="shared" si="4"/>
        <v>86.206896551724142</v>
      </c>
      <c r="I91" s="2">
        <v>16</v>
      </c>
      <c r="J91" s="2">
        <f t="shared" si="3"/>
        <v>0.82614268000000002</v>
      </c>
      <c r="K91" t="s">
        <v>317</v>
      </c>
      <c r="L91">
        <v>1</v>
      </c>
      <c r="M91">
        <v>14.9877</v>
      </c>
      <c r="N91">
        <v>14.9877</v>
      </c>
      <c r="O91">
        <v>0</v>
      </c>
      <c r="P91">
        <v>14.9877</v>
      </c>
      <c r="Q91">
        <v>1</v>
      </c>
      <c r="R91">
        <v>14.99</v>
      </c>
      <c r="S91" t="s">
        <v>24</v>
      </c>
      <c r="T91" t="s">
        <v>24</v>
      </c>
      <c r="U91" t="s">
        <v>24</v>
      </c>
      <c r="V91" t="s">
        <v>25</v>
      </c>
      <c r="W91" t="s">
        <v>317</v>
      </c>
      <c r="X91" t="s">
        <v>26</v>
      </c>
      <c r="Y91" t="s">
        <v>24</v>
      </c>
    </row>
    <row r="92" spans="1:25" x14ac:dyDescent="0.35">
      <c r="A92" s="1" t="s">
        <v>318</v>
      </c>
      <c r="B92" s="1" t="s">
        <v>319</v>
      </c>
      <c r="C92" s="1" t="s">
        <v>265</v>
      </c>
      <c r="D92" s="1" t="s">
        <v>266</v>
      </c>
      <c r="E92" s="2" t="s">
        <v>1995</v>
      </c>
      <c r="F92" s="2" t="s">
        <v>1975</v>
      </c>
      <c r="G92" s="6">
        <v>580</v>
      </c>
      <c r="H92" s="8">
        <f t="shared" si="4"/>
        <v>500.00000000000006</v>
      </c>
      <c r="I92" s="2">
        <v>16</v>
      </c>
      <c r="J92" s="2">
        <f t="shared" si="3"/>
        <v>0.71</v>
      </c>
      <c r="K92" t="s">
        <v>320</v>
      </c>
      <c r="L92">
        <v>2</v>
      </c>
      <c r="M92">
        <v>145</v>
      </c>
      <c r="N92">
        <v>145</v>
      </c>
      <c r="O92">
        <v>0</v>
      </c>
      <c r="P92">
        <v>290</v>
      </c>
      <c r="Q92">
        <v>2</v>
      </c>
      <c r="R92">
        <v>290</v>
      </c>
      <c r="S92" t="s">
        <v>24</v>
      </c>
      <c r="T92" t="s">
        <v>24</v>
      </c>
      <c r="U92" t="s">
        <v>24</v>
      </c>
      <c r="V92" t="s">
        <v>25</v>
      </c>
      <c r="W92" t="s">
        <v>320</v>
      </c>
      <c r="X92" t="s">
        <v>26</v>
      </c>
      <c r="Y92" t="s">
        <v>24</v>
      </c>
    </row>
    <row r="93" spans="1:25" x14ac:dyDescent="0.35">
      <c r="A93" s="1" t="s">
        <v>321</v>
      </c>
      <c r="B93" s="1" t="s">
        <v>322</v>
      </c>
      <c r="C93" s="1" t="s">
        <v>265</v>
      </c>
      <c r="D93" s="1" t="s">
        <v>266</v>
      </c>
      <c r="E93" s="2" t="s">
        <v>1996</v>
      </c>
      <c r="F93" s="2" t="s">
        <v>1975</v>
      </c>
      <c r="G93" s="6">
        <v>580</v>
      </c>
      <c r="H93" s="8">
        <f t="shared" si="4"/>
        <v>500.00000000000006</v>
      </c>
      <c r="I93" s="2">
        <v>16</v>
      </c>
      <c r="J93" s="2">
        <f t="shared" si="3"/>
        <v>0.71</v>
      </c>
      <c r="K93" t="s">
        <v>323</v>
      </c>
      <c r="L93">
        <v>3</v>
      </c>
      <c r="M93">
        <v>145</v>
      </c>
      <c r="N93">
        <v>145</v>
      </c>
      <c r="O93">
        <v>0</v>
      </c>
      <c r="P93">
        <v>435</v>
      </c>
      <c r="Q93">
        <v>3</v>
      </c>
      <c r="R93">
        <v>435</v>
      </c>
      <c r="S93" t="s">
        <v>24</v>
      </c>
      <c r="T93" t="s">
        <v>24</v>
      </c>
      <c r="U93" t="s">
        <v>24</v>
      </c>
      <c r="V93" t="s">
        <v>25</v>
      </c>
      <c r="W93" t="s">
        <v>323</v>
      </c>
      <c r="X93" t="s">
        <v>26</v>
      </c>
      <c r="Y93" t="s">
        <v>24</v>
      </c>
    </row>
    <row r="94" spans="1:25" x14ac:dyDescent="0.35">
      <c r="A94" s="1" t="s">
        <v>324</v>
      </c>
      <c r="B94" s="1" t="s">
        <v>325</v>
      </c>
      <c r="C94" s="1" t="s">
        <v>282</v>
      </c>
      <c r="D94" s="1" t="s">
        <v>283</v>
      </c>
      <c r="E94" s="2" t="s">
        <v>1997</v>
      </c>
      <c r="F94" s="2" t="s">
        <v>1994</v>
      </c>
      <c r="G94" s="6">
        <v>180</v>
      </c>
      <c r="H94" s="8">
        <f t="shared" si="4"/>
        <v>155.17241379310346</v>
      </c>
      <c r="I94" s="2">
        <v>16</v>
      </c>
      <c r="J94" s="2">
        <f t="shared" si="3"/>
        <v>0.77444444444444449</v>
      </c>
      <c r="K94" t="s">
        <v>326</v>
      </c>
      <c r="L94">
        <v>8</v>
      </c>
      <c r="M94">
        <v>35</v>
      </c>
      <c r="N94">
        <v>35</v>
      </c>
      <c r="O94">
        <v>0</v>
      </c>
      <c r="P94">
        <v>280</v>
      </c>
      <c r="Q94">
        <v>8</v>
      </c>
      <c r="R94">
        <v>280</v>
      </c>
      <c r="S94" t="s">
        <v>24</v>
      </c>
      <c r="T94" t="s">
        <v>24</v>
      </c>
      <c r="U94" t="s">
        <v>24</v>
      </c>
      <c r="V94" t="s">
        <v>25</v>
      </c>
      <c r="W94" t="s">
        <v>326</v>
      </c>
      <c r="X94" t="s">
        <v>26</v>
      </c>
      <c r="Y94" t="s">
        <v>24</v>
      </c>
    </row>
    <row r="95" spans="1:25" x14ac:dyDescent="0.35">
      <c r="A95" s="1" t="s">
        <v>313</v>
      </c>
      <c r="B95" s="1" t="s">
        <v>314</v>
      </c>
      <c r="C95" s="1" t="s">
        <v>282</v>
      </c>
      <c r="D95" s="1" t="s">
        <v>283</v>
      </c>
      <c r="E95" s="2" t="s">
        <v>1993</v>
      </c>
      <c r="F95" s="2" t="s">
        <v>1994</v>
      </c>
      <c r="G95" s="6">
        <v>100</v>
      </c>
      <c r="H95" s="8">
        <f t="shared" si="4"/>
        <v>86.206896551724142</v>
      </c>
      <c r="I95" s="2">
        <v>16</v>
      </c>
      <c r="J95" s="2">
        <f t="shared" si="3"/>
        <v>0.82600580000000001</v>
      </c>
      <c r="K95" t="s">
        <v>327</v>
      </c>
      <c r="L95">
        <v>18</v>
      </c>
      <c r="M95">
        <v>14.999499999999999</v>
      </c>
      <c r="N95">
        <v>14.999499999999999</v>
      </c>
      <c r="O95">
        <v>0</v>
      </c>
      <c r="P95">
        <v>269.99099999999999</v>
      </c>
      <c r="Q95">
        <v>18</v>
      </c>
      <c r="R95">
        <v>269.99</v>
      </c>
      <c r="S95" t="s">
        <v>24</v>
      </c>
      <c r="T95" t="s">
        <v>24</v>
      </c>
      <c r="U95" t="s">
        <v>24</v>
      </c>
      <c r="V95" t="s">
        <v>25</v>
      </c>
      <c r="W95" t="s">
        <v>327</v>
      </c>
      <c r="X95" t="s">
        <v>26</v>
      </c>
      <c r="Y95" t="s">
        <v>24</v>
      </c>
    </row>
    <row r="96" spans="1:25" x14ac:dyDescent="0.35">
      <c r="A96" s="1" t="s">
        <v>328</v>
      </c>
      <c r="B96" s="1" t="s">
        <v>329</v>
      </c>
      <c r="C96" s="1" t="s">
        <v>34</v>
      </c>
      <c r="D96" s="1" t="s">
        <v>35</v>
      </c>
      <c r="E96" s="2" t="s">
        <v>1998</v>
      </c>
      <c r="F96" s="2" t="s">
        <v>1994</v>
      </c>
      <c r="G96" s="6">
        <v>60</v>
      </c>
      <c r="H96" s="8">
        <f t="shared" si="4"/>
        <v>51.724137931034484</v>
      </c>
      <c r="I96" s="2">
        <v>16</v>
      </c>
      <c r="J96" s="2">
        <f t="shared" si="3"/>
        <v>0.69066666666666665</v>
      </c>
      <c r="K96" t="s">
        <v>330</v>
      </c>
      <c r="L96">
        <v>15</v>
      </c>
      <c r="M96">
        <v>16</v>
      </c>
      <c r="N96">
        <v>16</v>
      </c>
      <c r="O96">
        <v>0</v>
      </c>
      <c r="P96">
        <v>240</v>
      </c>
      <c r="Q96">
        <v>15</v>
      </c>
      <c r="R96">
        <v>240</v>
      </c>
      <c r="S96" t="s">
        <v>24</v>
      </c>
      <c r="T96" t="s">
        <v>24</v>
      </c>
      <c r="U96" t="s">
        <v>24</v>
      </c>
      <c r="V96" t="s">
        <v>25</v>
      </c>
      <c r="W96" t="s">
        <v>330</v>
      </c>
      <c r="X96" t="s">
        <v>26</v>
      </c>
      <c r="Y96" t="s">
        <v>24</v>
      </c>
    </row>
    <row r="97" spans="1:25" x14ac:dyDescent="0.35">
      <c r="A97" s="1" t="s">
        <v>331</v>
      </c>
      <c r="B97" s="1" t="s">
        <v>332</v>
      </c>
      <c r="C97" s="1" t="s">
        <v>34</v>
      </c>
      <c r="D97" s="1" t="s">
        <v>35</v>
      </c>
      <c r="E97" s="2" t="s">
        <v>1999</v>
      </c>
      <c r="F97" s="2" t="s">
        <v>1994</v>
      </c>
      <c r="G97" s="6">
        <v>100</v>
      </c>
      <c r="H97" s="8">
        <f t="shared" si="4"/>
        <v>86.206896551724142</v>
      </c>
      <c r="I97" s="2">
        <v>16</v>
      </c>
      <c r="J97" s="2">
        <f t="shared" si="3"/>
        <v>0.81440000000000001</v>
      </c>
      <c r="K97" t="s">
        <v>333</v>
      </c>
      <c r="L97">
        <v>12</v>
      </c>
      <c r="M97">
        <v>16</v>
      </c>
      <c r="N97">
        <v>16</v>
      </c>
      <c r="O97">
        <v>0</v>
      </c>
      <c r="P97">
        <v>192</v>
      </c>
      <c r="Q97">
        <v>12</v>
      </c>
      <c r="R97">
        <v>192</v>
      </c>
      <c r="S97" t="s">
        <v>24</v>
      </c>
      <c r="T97" t="s">
        <v>24</v>
      </c>
      <c r="U97" t="s">
        <v>24</v>
      </c>
      <c r="V97" t="s">
        <v>25</v>
      </c>
      <c r="W97" t="s">
        <v>333</v>
      </c>
      <c r="X97" t="s">
        <v>26</v>
      </c>
      <c r="Y97" t="s">
        <v>24</v>
      </c>
    </row>
    <row r="98" spans="1:25" x14ac:dyDescent="0.35">
      <c r="A98" s="1" t="s">
        <v>334</v>
      </c>
      <c r="B98" s="1" t="s">
        <v>335</v>
      </c>
      <c r="C98" s="1" t="s">
        <v>34</v>
      </c>
      <c r="D98" s="1" t="s">
        <v>35</v>
      </c>
      <c r="E98" s="2" t="s">
        <v>2000</v>
      </c>
      <c r="F98" s="2" t="s">
        <v>1975</v>
      </c>
      <c r="G98" s="6">
        <v>240</v>
      </c>
      <c r="H98" s="8">
        <f t="shared" si="4"/>
        <v>206.89655172413794</v>
      </c>
      <c r="I98" s="2">
        <v>16</v>
      </c>
      <c r="J98" s="2">
        <f t="shared" si="3"/>
        <v>0.6910533333333333</v>
      </c>
      <c r="K98" t="s">
        <v>336</v>
      </c>
      <c r="L98">
        <v>9</v>
      </c>
      <c r="M98">
        <v>63.92</v>
      </c>
      <c r="N98">
        <v>63.92</v>
      </c>
      <c r="O98">
        <v>0</v>
      </c>
      <c r="P98">
        <v>575.28</v>
      </c>
      <c r="Q98">
        <v>9</v>
      </c>
      <c r="R98">
        <v>575.28</v>
      </c>
      <c r="S98" t="s">
        <v>24</v>
      </c>
      <c r="T98" t="s">
        <v>24</v>
      </c>
      <c r="U98" t="s">
        <v>24</v>
      </c>
      <c r="V98" t="s">
        <v>25</v>
      </c>
      <c r="W98" t="s">
        <v>336</v>
      </c>
      <c r="X98" t="s">
        <v>26</v>
      </c>
      <c r="Y98" t="s">
        <v>24</v>
      </c>
    </row>
    <row r="99" spans="1:25" x14ac:dyDescent="0.35">
      <c r="A99" s="1" t="s">
        <v>337</v>
      </c>
      <c r="B99" s="1" t="s">
        <v>338</v>
      </c>
      <c r="C99" s="1" t="s">
        <v>34</v>
      </c>
      <c r="D99" s="1" t="s">
        <v>35</v>
      </c>
      <c r="E99" s="2" t="s">
        <v>2001</v>
      </c>
      <c r="F99" s="2" t="s">
        <v>1975</v>
      </c>
      <c r="G99" s="6">
        <v>240</v>
      </c>
      <c r="H99" s="8">
        <f t="shared" si="4"/>
        <v>206.89655172413794</v>
      </c>
      <c r="I99" s="2">
        <v>16</v>
      </c>
      <c r="J99" s="2">
        <f t="shared" si="3"/>
        <v>0.69405000000000006</v>
      </c>
      <c r="K99" t="s">
        <v>339</v>
      </c>
      <c r="L99">
        <v>11</v>
      </c>
      <c r="M99">
        <v>63.3</v>
      </c>
      <c r="N99">
        <v>63.3</v>
      </c>
      <c r="O99">
        <v>0</v>
      </c>
      <c r="P99">
        <v>696.3</v>
      </c>
      <c r="Q99">
        <v>11</v>
      </c>
      <c r="R99">
        <v>696.3</v>
      </c>
      <c r="S99" t="s">
        <v>24</v>
      </c>
      <c r="T99" t="s">
        <v>24</v>
      </c>
      <c r="U99" t="s">
        <v>24</v>
      </c>
      <c r="V99" t="s">
        <v>25</v>
      </c>
      <c r="W99" t="s">
        <v>339</v>
      </c>
      <c r="X99" t="s">
        <v>26</v>
      </c>
      <c r="Y99" t="s">
        <v>24</v>
      </c>
    </row>
    <row r="100" spans="1:25" x14ac:dyDescent="0.35">
      <c r="A100" s="1" t="s">
        <v>340</v>
      </c>
      <c r="B100" s="1" t="s">
        <v>341</v>
      </c>
      <c r="C100" s="1" t="s">
        <v>29</v>
      </c>
      <c r="D100" s="1" t="s">
        <v>30</v>
      </c>
      <c r="E100" s="2" t="s">
        <v>2002</v>
      </c>
      <c r="F100" s="2" t="s">
        <v>1975</v>
      </c>
      <c r="G100" s="6">
        <v>940</v>
      </c>
      <c r="H100" s="8">
        <f t="shared" si="4"/>
        <v>810.34482758620697</v>
      </c>
      <c r="I100" s="2">
        <v>16</v>
      </c>
      <c r="J100" s="2">
        <f t="shared" si="3"/>
        <v>0.76553191489361705</v>
      </c>
      <c r="K100" t="s">
        <v>342</v>
      </c>
      <c r="L100">
        <v>2</v>
      </c>
      <c r="M100">
        <v>190</v>
      </c>
      <c r="N100">
        <v>190</v>
      </c>
      <c r="O100">
        <v>0</v>
      </c>
      <c r="P100">
        <v>190</v>
      </c>
      <c r="Q100">
        <v>1</v>
      </c>
      <c r="R100">
        <v>190</v>
      </c>
      <c r="S100" t="s">
        <v>24</v>
      </c>
      <c r="T100" t="s">
        <v>24</v>
      </c>
      <c r="U100" t="s">
        <v>24</v>
      </c>
      <c r="V100" t="s">
        <v>25</v>
      </c>
      <c r="W100" t="s">
        <v>342</v>
      </c>
      <c r="X100" t="s">
        <v>26</v>
      </c>
      <c r="Y100" t="s">
        <v>24</v>
      </c>
    </row>
    <row r="101" spans="1:25" x14ac:dyDescent="0.35">
      <c r="A101" s="1" t="s">
        <v>343</v>
      </c>
      <c r="B101" s="1" t="s">
        <v>344</v>
      </c>
      <c r="C101" s="1" t="s">
        <v>34</v>
      </c>
      <c r="D101" s="1" t="s">
        <v>35</v>
      </c>
      <c r="E101" s="2" t="s">
        <v>2003</v>
      </c>
      <c r="F101" s="2" t="s">
        <v>1994</v>
      </c>
      <c r="G101" s="6">
        <v>240</v>
      </c>
      <c r="H101" s="8">
        <f t="shared" si="4"/>
        <v>206.89655172413794</v>
      </c>
      <c r="I101" s="2">
        <v>16</v>
      </c>
      <c r="J101" s="2">
        <f t="shared" si="3"/>
        <v>0.76310673333333334</v>
      </c>
      <c r="K101" t="s">
        <v>345</v>
      </c>
      <c r="L101">
        <v>4</v>
      </c>
      <c r="M101">
        <v>49.0124</v>
      </c>
      <c r="N101">
        <v>49.0124</v>
      </c>
      <c r="O101">
        <v>0</v>
      </c>
      <c r="P101">
        <v>196.0496</v>
      </c>
      <c r="Q101">
        <v>4</v>
      </c>
      <c r="R101">
        <v>196.05</v>
      </c>
      <c r="S101" t="s">
        <v>24</v>
      </c>
      <c r="T101" t="s">
        <v>24</v>
      </c>
      <c r="U101" t="s">
        <v>24</v>
      </c>
      <c r="V101" t="s">
        <v>25</v>
      </c>
      <c r="W101" t="s">
        <v>345</v>
      </c>
      <c r="X101" t="s">
        <v>26</v>
      </c>
      <c r="Y101" t="s">
        <v>24</v>
      </c>
    </row>
    <row r="102" spans="1:25" x14ac:dyDescent="0.35">
      <c r="A102" s="1" t="s">
        <v>346</v>
      </c>
      <c r="B102" s="1" t="s">
        <v>347</v>
      </c>
      <c r="C102" s="1" t="s">
        <v>34</v>
      </c>
      <c r="D102" s="1" t="s">
        <v>35</v>
      </c>
      <c r="E102" s="2" t="s">
        <v>2004</v>
      </c>
      <c r="F102" s="2" t="s">
        <v>1994</v>
      </c>
      <c r="G102" s="6">
        <v>100</v>
      </c>
      <c r="H102" s="8">
        <f t="shared" si="4"/>
        <v>86.206896551724142</v>
      </c>
      <c r="I102" s="2">
        <v>16</v>
      </c>
      <c r="J102" s="2">
        <f t="shared" si="3"/>
        <v>0.81440000000000001</v>
      </c>
      <c r="K102" t="s">
        <v>348</v>
      </c>
      <c r="L102">
        <v>18</v>
      </c>
      <c r="M102">
        <v>16</v>
      </c>
      <c r="N102">
        <v>16</v>
      </c>
      <c r="O102">
        <v>0</v>
      </c>
      <c r="P102">
        <v>288</v>
      </c>
      <c r="Q102">
        <v>18</v>
      </c>
      <c r="R102">
        <v>288</v>
      </c>
      <c r="S102" t="s">
        <v>24</v>
      </c>
      <c r="T102" t="s">
        <v>24</v>
      </c>
      <c r="U102" t="s">
        <v>24</v>
      </c>
      <c r="V102" t="s">
        <v>25</v>
      </c>
      <c r="W102" t="s">
        <v>348</v>
      </c>
      <c r="X102" t="s">
        <v>26</v>
      </c>
      <c r="Y102" t="s">
        <v>24</v>
      </c>
    </row>
    <row r="103" spans="1:25" x14ac:dyDescent="0.35">
      <c r="A103" s="1" t="s">
        <v>349</v>
      </c>
      <c r="B103" s="1" t="s">
        <v>350</v>
      </c>
      <c r="C103" s="1" t="s">
        <v>34</v>
      </c>
      <c r="D103" s="1" t="s">
        <v>35</v>
      </c>
      <c r="E103" s="2" t="s">
        <v>2005</v>
      </c>
      <c r="F103" s="2" t="s">
        <v>1994</v>
      </c>
      <c r="G103" s="6">
        <v>100</v>
      </c>
      <c r="H103" s="8">
        <f t="shared" si="4"/>
        <v>86.206896551724142</v>
      </c>
      <c r="I103" s="2">
        <v>16</v>
      </c>
      <c r="J103" s="2">
        <f t="shared" si="3"/>
        <v>0.81440000000000001</v>
      </c>
      <c r="K103" t="s">
        <v>351</v>
      </c>
      <c r="L103">
        <v>20</v>
      </c>
      <c r="M103">
        <v>16</v>
      </c>
      <c r="N103">
        <v>16</v>
      </c>
      <c r="O103">
        <v>0</v>
      </c>
      <c r="P103">
        <v>320</v>
      </c>
      <c r="Q103">
        <v>20</v>
      </c>
      <c r="R103">
        <v>320</v>
      </c>
      <c r="S103" t="s">
        <v>24</v>
      </c>
      <c r="T103" t="s">
        <v>24</v>
      </c>
      <c r="U103" t="s">
        <v>24</v>
      </c>
      <c r="V103" t="s">
        <v>25</v>
      </c>
      <c r="W103" t="s">
        <v>351</v>
      </c>
      <c r="X103" t="s">
        <v>26</v>
      </c>
      <c r="Y103" t="s">
        <v>24</v>
      </c>
    </row>
    <row r="104" spans="1:25" x14ac:dyDescent="0.35">
      <c r="A104" s="1" t="s">
        <v>352</v>
      </c>
      <c r="B104" s="1" t="s">
        <v>353</v>
      </c>
      <c r="C104" s="1" t="s">
        <v>34</v>
      </c>
      <c r="D104" s="1" t="s">
        <v>35</v>
      </c>
      <c r="E104" s="2" t="s">
        <v>2006</v>
      </c>
      <c r="F104" s="2" t="s">
        <v>1975</v>
      </c>
      <c r="G104" s="6">
        <v>240</v>
      </c>
      <c r="H104" s="8">
        <f t="shared" si="4"/>
        <v>206.89655172413794</v>
      </c>
      <c r="I104" s="2">
        <v>16</v>
      </c>
      <c r="J104" s="2">
        <f t="shared" si="3"/>
        <v>0.6910533333333333</v>
      </c>
      <c r="K104" t="s">
        <v>354</v>
      </c>
      <c r="L104">
        <v>9</v>
      </c>
      <c r="M104">
        <v>63.92</v>
      </c>
      <c r="N104">
        <v>63.92</v>
      </c>
      <c r="O104">
        <v>0</v>
      </c>
      <c r="P104">
        <v>575.28</v>
      </c>
      <c r="Q104">
        <v>9</v>
      </c>
      <c r="R104">
        <v>575.28</v>
      </c>
      <c r="S104" t="s">
        <v>24</v>
      </c>
      <c r="T104" t="s">
        <v>24</v>
      </c>
      <c r="U104" t="s">
        <v>24</v>
      </c>
      <c r="V104" t="s">
        <v>25</v>
      </c>
      <c r="W104" t="s">
        <v>354</v>
      </c>
      <c r="X104" t="s">
        <v>26</v>
      </c>
      <c r="Y104" t="s">
        <v>24</v>
      </c>
    </row>
    <row r="105" spans="1:25" x14ac:dyDescent="0.35">
      <c r="A105" s="1" t="s">
        <v>355</v>
      </c>
      <c r="B105" s="1" t="s">
        <v>356</v>
      </c>
      <c r="C105" s="1" t="s">
        <v>34</v>
      </c>
      <c r="D105" s="1" t="s">
        <v>35</v>
      </c>
      <c r="E105" s="2" t="s">
        <v>2007</v>
      </c>
      <c r="F105" s="2" t="s">
        <v>1975</v>
      </c>
      <c r="G105" s="6">
        <v>240</v>
      </c>
      <c r="H105" s="8">
        <f t="shared" si="4"/>
        <v>206.89655172413794</v>
      </c>
      <c r="I105" s="2">
        <v>16</v>
      </c>
      <c r="J105" s="2">
        <f t="shared" si="3"/>
        <v>0.69106783333333333</v>
      </c>
      <c r="K105" t="s">
        <v>357</v>
      </c>
      <c r="L105">
        <v>9</v>
      </c>
      <c r="M105">
        <v>63.917000000000002</v>
      </c>
      <c r="N105">
        <v>63.917000000000002</v>
      </c>
      <c r="O105">
        <v>0</v>
      </c>
      <c r="P105">
        <v>575.25300000000004</v>
      </c>
      <c r="Q105">
        <v>9</v>
      </c>
      <c r="R105">
        <v>575.25</v>
      </c>
      <c r="S105" t="s">
        <v>24</v>
      </c>
      <c r="T105" t="s">
        <v>24</v>
      </c>
      <c r="U105" t="s">
        <v>24</v>
      </c>
      <c r="V105" t="s">
        <v>25</v>
      </c>
      <c r="W105" t="s">
        <v>357</v>
      </c>
      <c r="X105" t="s">
        <v>26</v>
      </c>
      <c r="Y105" t="s">
        <v>24</v>
      </c>
    </row>
    <row r="106" spans="1:25" x14ac:dyDescent="0.35">
      <c r="A106" s="1" t="s">
        <v>358</v>
      </c>
      <c r="B106" s="1" t="s">
        <v>359</v>
      </c>
      <c r="C106" s="1" t="s">
        <v>34</v>
      </c>
      <c r="D106" s="1" t="s">
        <v>35</v>
      </c>
      <c r="E106" s="2" t="s">
        <v>2008</v>
      </c>
      <c r="F106" s="2" t="s">
        <v>1975</v>
      </c>
      <c r="G106" s="6">
        <v>240</v>
      </c>
      <c r="H106" s="8">
        <f t="shared" si="4"/>
        <v>206.89655172413794</v>
      </c>
      <c r="I106" s="2">
        <v>16</v>
      </c>
      <c r="J106" s="2">
        <f t="shared" si="3"/>
        <v>0.69126213333333331</v>
      </c>
      <c r="K106" t="s">
        <v>360</v>
      </c>
      <c r="L106">
        <v>8</v>
      </c>
      <c r="M106">
        <v>63.876800000000003</v>
      </c>
      <c r="N106">
        <v>63.8767</v>
      </c>
      <c r="O106">
        <v>0</v>
      </c>
      <c r="P106">
        <v>511.01440000000002</v>
      </c>
      <c r="Q106">
        <v>8</v>
      </c>
      <c r="R106">
        <v>511.01</v>
      </c>
      <c r="S106" t="s">
        <v>24</v>
      </c>
      <c r="T106" t="s">
        <v>24</v>
      </c>
      <c r="U106" t="s">
        <v>24</v>
      </c>
      <c r="V106" t="s">
        <v>25</v>
      </c>
      <c r="W106" t="s">
        <v>360</v>
      </c>
      <c r="X106" t="s">
        <v>26</v>
      </c>
      <c r="Y106" t="s">
        <v>24</v>
      </c>
    </row>
    <row r="107" spans="1:25" x14ac:dyDescent="0.35">
      <c r="A107" s="1" t="s">
        <v>361</v>
      </c>
      <c r="B107" s="1" t="s">
        <v>362</v>
      </c>
      <c r="C107" s="1" t="s">
        <v>254</v>
      </c>
      <c r="D107" s="1" t="s">
        <v>255</v>
      </c>
      <c r="E107" s="2" t="s">
        <v>2009</v>
      </c>
      <c r="F107" s="2" t="s">
        <v>1994</v>
      </c>
      <c r="G107" s="6">
        <v>140</v>
      </c>
      <c r="H107" s="8">
        <f t="shared" si="4"/>
        <v>120.68965517241381</v>
      </c>
      <c r="I107" s="2">
        <v>16</v>
      </c>
      <c r="J107" s="2">
        <f t="shared" si="3"/>
        <v>0.71</v>
      </c>
      <c r="K107" t="s">
        <v>363</v>
      </c>
      <c r="L107">
        <v>8</v>
      </c>
      <c r="M107">
        <v>35</v>
      </c>
      <c r="N107">
        <v>35</v>
      </c>
      <c r="O107">
        <v>0</v>
      </c>
      <c r="P107">
        <v>140</v>
      </c>
      <c r="Q107">
        <v>4</v>
      </c>
      <c r="R107">
        <v>140</v>
      </c>
      <c r="S107" t="s">
        <v>24</v>
      </c>
      <c r="T107" t="s">
        <v>24</v>
      </c>
      <c r="U107" t="s">
        <v>24</v>
      </c>
      <c r="V107" t="s">
        <v>25</v>
      </c>
      <c r="W107" t="s">
        <v>363</v>
      </c>
      <c r="X107" t="s">
        <v>26</v>
      </c>
      <c r="Y107" t="s">
        <v>24</v>
      </c>
    </row>
    <row r="108" spans="1:25" x14ac:dyDescent="0.35">
      <c r="A108" s="1" t="s">
        <v>364</v>
      </c>
      <c r="B108" s="1" t="s">
        <v>365</v>
      </c>
      <c r="C108" s="1" t="s">
        <v>29</v>
      </c>
      <c r="D108" s="1" t="s">
        <v>30</v>
      </c>
      <c r="E108" s="2" t="s">
        <v>2010</v>
      </c>
      <c r="F108" s="2" t="s">
        <v>1975</v>
      </c>
      <c r="G108" s="6">
        <v>740</v>
      </c>
      <c r="H108" s="8">
        <f t="shared" si="4"/>
        <v>637.93103448275872</v>
      </c>
      <c r="I108" s="2">
        <v>16</v>
      </c>
      <c r="J108" s="2">
        <f t="shared" si="3"/>
        <v>0.70216216216216221</v>
      </c>
      <c r="K108" t="s">
        <v>366</v>
      </c>
      <c r="L108">
        <v>8</v>
      </c>
      <c r="M108">
        <v>190</v>
      </c>
      <c r="N108">
        <v>190</v>
      </c>
      <c r="O108">
        <v>0</v>
      </c>
      <c r="P108">
        <v>1520</v>
      </c>
      <c r="Q108">
        <v>8</v>
      </c>
      <c r="R108">
        <v>1520</v>
      </c>
      <c r="S108" t="s">
        <v>24</v>
      </c>
      <c r="T108" t="s">
        <v>24</v>
      </c>
      <c r="U108" t="s">
        <v>24</v>
      </c>
      <c r="V108" t="s">
        <v>25</v>
      </c>
      <c r="W108" t="s">
        <v>366</v>
      </c>
      <c r="X108" t="s">
        <v>26</v>
      </c>
      <c r="Y108" t="s">
        <v>24</v>
      </c>
    </row>
    <row r="109" spans="1:25" x14ac:dyDescent="0.35">
      <c r="A109" s="1" t="s">
        <v>367</v>
      </c>
      <c r="B109" s="1" t="s">
        <v>368</v>
      </c>
      <c r="C109" s="1" t="s">
        <v>254</v>
      </c>
      <c r="D109" s="1" t="s">
        <v>255</v>
      </c>
      <c r="E109" s="2" t="s">
        <v>2011</v>
      </c>
      <c r="F109" s="2" t="s">
        <v>1994</v>
      </c>
      <c r="G109" s="6">
        <v>140</v>
      </c>
      <c r="H109" s="8">
        <f t="shared" si="4"/>
        <v>120.68965517241381</v>
      </c>
      <c r="I109" s="2">
        <v>16</v>
      </c>
      <c r="J109" s="2">
        <f t="shared" si="3"/>
        <v>0.71</v>
      </c>
      <c r="K109" t="s">
        <v>369</v>
      </c>
      <c r="L109">
        <v>3</v>
      </c>
      <c r="M109">
        <v>35</v>
      </c>
      <c r="N109">
        <v>35</v>
      </c>
      <c r="O109">
        <v>0</v>
      </c>
      <c r="P109">
        <v>70</v>
      </c>
      <c r="Q109">
        <v>2</v>
      </c>
      <c r="R109">
        <v>70</v>
      </c>
      <c r="S109" t="s">
        <v>24</v>
      </c>
      <c r="T109" t="s">
        <v>24</v>
      </c>
      <c r="U109" t="s">
        <v>24</v>
      </c>
      <c r="V109" t="s">
        <v>25</v>
      </c>
      <c r="W109" t="s">
        <v>369</v>
      </c>
      <c r="X109" t="s">
        <v>26</v>
      </c>
      <c r="Y109" t="s">
        <v>24</v>
      </c>
    </row>
    <row r="110" spans="1:25" x14ac:dyDescent="0.35">
      <c r="A110" s="1" t="s">
        <v>370</v>
      </c>
      <c r="B110" s="1" t="s">
        <v>371</v>
      </c>
      <c r="C110" s="1" t="s">
        <v>34</v>
      </c>
      <c r="D110" s="1" t="s">
        <v>35</v>
      </c>
      <c r="E110" s="2" t="s">
        <v>2012</v>
      </c>
      <c r="F110" s="2" t="s">
        <v>1994</v>
      </c>
      <c r="G110" s="6">
        <v>100</v>
      </c>
      <c r="H110" s="8">
        <f t="shared" si="4"/>
        <v>86.206896551724142</v>
      </c>
      <c r="I110" s="2">
        <v>16</v>
      </c>
      <c r="J110" s="2">
        <f t="shared" si="3"/>
        <v>0.81440000000000001</v>
      </c>
      <c r="K110" t="s">
        <v>372</v>
      </c>
      <c r="L110">
        <v>14</v>
      </c>
      <c r="M110">
        <v>16</v>
      </c>
      <c r="N110">
        <v>16</v>
      </c>
      <c r="O110">
        <v>0</v>
      </c>
      <c r="P110">
        <v>208</v>
      </c>
      <c r="Q110">
        <v>13</v>
      </c>
      <c r="R110">
        <v>208</v>
      </c>
      <c r="S110" t="s">
        <v>24</v>
      </c>
      <c r="T110" t="s">
        <v>24</v>
      </c>
      <c r="U110" t="s">
        <v>24</v>
      </c>
      <c r="V110" t="s">
        <v>25</v>
      </c>
      <c r="W110" t="s">
        <v>372</v>
      </c>
      <c r="X110" t="s">
        <v>26</v>
      </c>
      <c r="Y110" t="s">
        <v>24</v>
      </c>
    </row>
    <row r="111" spans="1:25" x14ac:dyDescent="0.35">
      <c r="A111" s="1" t="s">
        <v>373</v>
      </c>
      <c r="B111" s="1" t="s">
        <v>374</v>
      </c>
      <c r="C111" s="1" t="s">
        <v>315</v>
      </c>
      <c r="D111" s="1" t="s">
        <v>316</v>
      </c>
      <c r="E111" s="2" t="s">
        <v>2013</v>
      </c>
      <c r="F111" s="2" t="s">
        <v>1994</v>
      </c>
      <c r="G111" s="6">
        <v>200</v>
      </c>
      <c r="H111" s="8">
        <f t="shared" si="4"/>
        <v>172.41379310344828</v>
      </c>
      <c r="I111" s="2">
        <v>16</v>
      </c>
      <c r="J111" s="2">
        <f t="shared" si="3"/>
        <v>0.82988600000000001</v>
      </c>
      <c r="K111" t="s">
        <v>375</v>
      </c>
      <c r="L111">
        <v>26</v>
      </c>
      <c r="M111">
        <v>29.33</v>
      </c>
      <c r="N111">
        <v>29.33</v>
      </c>
      <c r="O111">
        <v>0</v>
      </c>
      <c r="P111">
        <v>762.58</v>
      </c>
      <c r="Q111">
        <v>26</v>
      </c>
      <c r="R111">
        <v>762.58</v>
      </c>
      <c r="S111" t="s">
        <v>24</v>
      </c>
      <c r="T111" t="s">
        <v>24</v>
      </c>
      <c r="U111" t="s">
        <v>24</v>
      </c>
      <c r="V111" t="s">
        <v>25</v>
      </c>
      <c r="W111" t="s">
        <v>375</v>
      </c>
      <c r="X111" t="s">
        <v>26</v>
      </c>
      <c r="Y111" t="s">
        <v>24</v>
      </c>
    </row>
    <row r="112" spans="1:25" x14ac:dyDescent="0.35">
      <c r="A112" s="1" t="s">
        <v>376</v>
      </c>
      <c r="B112" s="1" t="s">
        <v>377</v>
      </c>
      <c r="C112" s="1" t="s">
        <v>34</v>
      </c>
      <c r="D112" s="1" t="s">
        <v>35</v>
      </c>
      <c r="E112" s="2" t="s">
        <v>2014</v>
      </c>
      <c r="F112" s="2" t="s">
        <v>1975</v>
      </c>
      <c r="G112" s="6">
        <v>240</v>
      </c>
      <c r="H112" s="8">
        <f t="shared" si="4"/>
        <v>206.89655172413794</v>
      </c>
      <c r="I112" s="2">
        <v>16</v>
      </c>
      <c r="J112" s="2">
        <f t="shared" si="3"/>
        <v>0.6910533333333333</v>
      </c>
      <c r="K112" t="s">
        <v>378</v>
      </c>
      <c r="L112">
        <v>12</v>
      </c>
      <c r="M112">
        <v>63.92</v>
      </c>
      <c r="N112">
        <v>63.92</v>
      </c>
      <c r="O112">
        <v>0</v>
      </c>
      <c r="P112">
        <v>767.04</v>
      </c>
      <c r="Q112">
        <v>12</v>
      </c>
      <c r="R112">
        <v>767.04</v>
      </c>
      <c r="S112" t="s">
        <v>24</v>
      </c>
      <c r="T112" t="s">
        <v>24</v>
      </c>
      <c r="U112" t="s">
        <v>24</v>
      </c>
      <c r="V112" t="s">
        <v>25</v>
      </c>
      <c r="W112" t="s">
        <v>378</v>
      </c>
      <c r="X112" t="s">
        <v>26</v>
      </c>
      <c r="Y112" t="s">
        <v>24</v>
      </c>
    </row>
    <row r="113" spans="1:25" x14ac:dyDescent="0.35">
      <c r="A113" s="1" t="s">
        <v>379</v>
      </c>
      <c r="B113" s="1" t="s">
        <v>380</v>
      </c>
      <c r="C113" s="1" t="s">
        <v>34</v>
      </c>
      <c r="D113" s="1" t="s">
        <v>35</v>
      </c>
      <c r="E113" s="2" t="s">
        <v>2015</v>
      </c>
      <c r="F113" s="2" t="s">
        <v>1975</v>
      </c>
      <c r="G113" s="6">
        <v>240</v>
      </c>
      <c r="H113" s="8">
        <f t="shared" si="4"/>
        <v>206.89655172413794</v>
      </c>
      <c r="I113" s="2">
        <v>16</v>
      </c>
      <c r="J113" s="2">
        <f t="shared" si="3"/>
        <v>0.69478079999999998</v>
      </c>
      <c r="K113" t="s">
        <v>381</v>
      </c>
      <c r="L113">
        <v>9</v>
      </c>
      <c r="M113">
        <v>63.148800000000001</v>
      </c>
      <c r="N113">
        <v>63.148800000000001</v>
      </c>
      <c r="O113">
        <v>0</v>
      </c>
      <c r="P113">
        <v>568.33920000000001</v>
      </c>
      <c r="Q113">
        <v>9</v>
      </c>
      <c r="R113">
        <v>568.34</v>
      </c>
      <c r="S113" t="s">
        <v>24</v>
      </c>
      <c r="T113" t="s">
        <v>24</v>
      </c>
      <c r="U113" t="s">
        <v>24</v>
      </c>
      <c r="V113" t="s">
        <v>25</v>
      </c>
      <c r="W113" t="s">
        <v>381</v>
      </c>
      <c r="X113" t="s">
        <v>26</v>
      </c>
      <c r="Y113" t="s">
        <v>24</v>
      </c>
    </row>
    <row r="114" spans="1:25" x14ac:dyDescent="0.35">
      <c r="A114" s="1" t="s">
        <v>382</v>
      </c>
      <c r="B114" s="1" t="s">
        <v>383</v>
      </c>
      <c r="C114" s="1" t="s">
        <v>34</v>
      </c>
      <c r="D114" s="1" t="s">
        <v>35</v>
      </c>
      <c r="E114" s="2" t="s">
        <v>2016</v>
      </c>
      <c r="F114" s="2" t="s">
        <v>1975</v>
      </c>
      <c r="G114" s="6">
        <v>240</v>
      </c>
      <c r="H114" s="8">
        <f t="shared" si="4"/>
        <v>206.89655172413794</v>
      </c>
      <c r="I114" s="2">
        <v>16</v>
      </c>
      <c r="J114" s="2">
        <f t="shared" si="3"/>
        <v>0.69436513333333338</v>
      </c>
      <c r="K114" t="s">
        <v>384</v>
      </c>
      <c r="L114">
        <v>8</v>
      </c>
      <c r="M114">
        <v>63.2348</v>
      </c>
      <c r="N114">
        <v>63.234699999999997</v>
      </c>
      <c r="O114">
        <v>0</v>
      </c>
      <c r="P114">
        <v>505.8784</v>
      </c>
      <c r="Q114">
        <v>8</v>
      </c>
      <c r="R114">
        <v>505.88</v>
      </c>
      <c r="S114" t="s">
        <v>24</v>
      </c>
      <c r="T114" t="s">
        <v>24</v>
      </c>
      <c r="U114" t="s">
        <v>24</v>
      </c>
      <c r="V114" t="s">
        <v>25</v>
      </c>
      <c r="W114" t="s">
        <v>384</v>
      </c>
      <c r="X114" t="s">
        <v>26</v>
      </c>
      <c r="Y114" t="s">
        <v>24</v>
      </c>
    </row>
    <row r="115" spans="1:25" x14ac:dyDescent="0.35">
      <c r="A115" s="1" t="s">
        <v>385</v>
      </c>
      <c r="B115" s="1" t="s">
        <v>386</v>
      </c>
      <c r="C115" s="1" t="s">
        <v>387</v>
      </c>
      <c r="D115" s="1" t="s">
        <v>388</v>
      </c>
      <c r="E115" s="2" t="s">
        <v>2017</v>
      </c>
      <c r="F115" s="2" t="s">
        <v>1994</v>
      </c>
      <c r="G115" s="6">
        <v>200</v>
      </c>
      <c r="H115" s="8">
        <f t="shared" si="4"/>
        <v>172.41379310344828</v>
      </c>
      <c r="I115" s="2">
        <v>16</v>
      </c>
      <c r="J115" s="2">
        <f t="shared" si="3"/>
        <v>0.69898000000000005</v>
      </c>
      <c r="K115" t="s">
        <v>389</v>
      </c>
      <c r="L115">
        <v>14</v>
      </c>
      <c r="M115">
        <v>51.9</v>
      </c>
      <c r="N115">
        <v>51.9</v>
      </c>
      <c r="O115">
        <v>0</v>
      </c>
      <c r="P115">
        <v>726.6</v>
      </c>
      <c r="Q115">
        <v>14</v>
      </c>
      <c r="R115">
        <v>726.6</v>
      </c>
      <c r="S115" t="s">
        <v>24</v>
      </c>
      <c r="T115" t="s">
        <v>24</v>
      </c>
      <c r="U115" t="s">
        <v>24</v>
      </c>
      <c r="V115" t="s">
        <v>25</v>
      </c>
      <c r="W115" t="s">
        <v>389</v>
      </c>
      <c r="X115" t="s">
        <v>26</v>
      </c>
      <c r="Y115" t="s">
        <v>24</v>
      </c>
    </row>
    <row r="116" spans="1:25" x14ac:dyDescent="0.35">
      <c r="A116" s="1" t="s">
        <v>390</v>
      </c>
      <c r="B116" s="1" t="s">
        <v>391</v>
      </c>
      <c r="C116" s="1" t="s">
        <v>392</v>
      </c>
      <c r="D116" s="1" t="s">
        <v>393</v>
      </c>
      <c r="E116" s="2" t="s">
        <v>2018</v>
      </c>
      <c r="F116" s="2" t="s">
        <v>1975</v>
      </c>
      <c r="G116" s="6">
        <v>980</v>
      </c>
      <c r="H116" s="8">
        <f t="shared" si="4"/>
        <v>844.82758620689663</v>
      </c>
      <c r="I116" s="2">
        <v>16</v>
      </c>
      <c r="J116" s="2">
        <f t="shared" si="3"/>
        <v>0.7455102040816326</v>
      </c>
      <c r="K116" t="s">
        <v>394</v>
      </c>
      <c r="L116">
        <v>1</v>
      </c>
      <c r="M116">
        <v>215</v>
      </c>
      <c r="N116">
        <v>215</v>
      </c>
      <c r="O116">
        <v>0</v>
      </c>
      <c r="P116">
        <v>215</v>
      </c>
      <c r="Q116">
        <v>1</v>
      </c>
      <c r="R116">
        <v>215</v>
      </c>
      <c r="S116" t="s">
        <v>24</v>
      </c>
      <c r="T116" t="s">
        <v>24</v>
      </c>
      <c r="U116" t="s">
        <v>24</v>
      </c>
      <c r="V116" t="s">
        <v>25</v>
      </c>
      <c r="W116" t="s">
        <v>394</v>
      </c>
      <c r="X116" t="s">
        <v>26</v>
      </c>
      <c r="Y116" t="s">
        <v>24</v>
      </c>
    </row>
    <row r="117" spans="1:25" x14ac:dyDescent="0.35">
      <c r="A117" s="1" t="s">
        <v>395</v>
      </c>
      <c r="B117" s="1" t="s">
        <v>396</v>
      </c>
      <c r="C117" s="1" t="s">
        <v>392</v>
      </c>
      <c r="D117" s="1" t="s">
        <v>393</v>
      </c>
      <c r="E117" s="2" t="s">
        <v>2019</v>
      </c>
      <c r="F117" s="2" t="s">
        <v>1975</v>
      </c>
      <c r="G117" s="6">
        <v>980</v>
      </c>
      <c r="H117" s="8">
        <f t="shared" si="4"/>
        <v>844.82758620689663</v>
      </c>
      <c r="I117" s="2">
        <v>16</v>
      </c>
      <c r="J117" s="2">
        <f t="shared" si="3"/>
        <v>0.7455102040816326</v>
      </c>
      <c r="K117" t="s">
        <v>397</v>
      </c>
      <c r="L117">
        <v>1</v>
      </c>
      <c r="M117">
        <v>215</v>
      </c>
      <c r="N117">
        <v>215</v>
      </c>
      <c r="O117">
        <v>0</v>
      </c>
      <c r="P117">
        <v>215</v>
      </c>
      <c r="Q117">
        <v>1</v>
      </c>
      <c r="R117">
        <v>215</v>
      </c>
      <c r="S117" t="s">
        <v>24</v>
      </c>
      <c r="T117" t="s">
        <v>24</v>
      </c>
      <c r="U117" t="s">
        <v>24</v>
      </c>
      <c r="V117" t="s">
        <v>25</v>
      </c>
      <c r="W117" t="s">
        <v>397</v>
      </c>
      <c r="X117" t="s">
        <v>26</v>
      </c>
      <c r="Y117" t="s">
        <v>24</v>
      </c>
    </row>
    <row r="118" spans="1:25" x14ac:dyDescent="0.35">
      <c r="A118" s="1" t="s">
        <v>398</v>
      </c>
      <c r="B118" s="1" t="s">
        <v>399</v>
      </c>
      <c r="C118" s="1" t="s">
        <v>387</v>
      </c>
      <c r="D118" s="1" t="s">
        <v>388</v>
      </c>
      <c r="E118" s="2" t="s">
        <v>2020</v>
      </c>
      <c r="F118" s="2" t="s">
        <v>1994</v>
      </c>
      <c r="G118" s="6">
        <v>300</v>
      </c>
      <c r="H118" s="8">
        <f t="shared" si="4"/>
        <v>258.62068965517244</v>
      </c>
      <c r="I118" s="2">
        <v>16</v>
      </c>
      <c r="J118" s="2">
        <f t="shared" si="3"/>
        <v>0.72933333333333339</v>
      </c>
      <c r="K118" t="s">
        <v>400</v>
      </c>
      <c r="L118">
        <v>1</v>
      </c>
      <c r="M118">
        <v>70</v>
      </c>
      <c r="N118">
        <v>70</v>
      </c>
      <c r="O118">
        <v>0</v>
      </c>
      <c r="P118">
        <v>70</v>
      </c>
      <c r="Q118">
        <v>1</v>
      </c>
      <c r="R118">
        <v>70</v>
      </c>
      <c r="S118" t="s">
        <v>24</v>
      </c>
      <c r="T118" t="s">
        <v>24</v>
      </c>
      <c r="U118" t="s">
        <v>24</v>
      </c>
      <c r="V118" t="s">
        <v>25</v>
      </c>
      <c r="W118" t="s">
        <v>400</v>
      </c>
      <c r="X118" t="s">
        <v>26</v>
      </c>
      <c r="Y118" t="s">
        <v>24</v>
      </c>
    </row>
    <row r="119" spans="1:25" x14ac:dyDescent="0.35">
      <c r="A119" s="1" t="s">
        <v>401</v>
      </c>
      <c r="B119" s="1" t="s">
        <v>402</v>
      </c>
      <c r="C119" s="1" t="s">
        <v>403</v>
      </c>
      <c r="D119" s="1" t="s">
        <v>404</v>
      </c>
      <c r="E119" s="2" t="s">
        <v>2021</v>
      </c>
      <c r="F119" s="2" t="s">
        <v>1994</v>
      </c>
      <c r="G119" s="6">
        <v>100</v>
      </c>
      <c r="H119" s="8">
        <f t="shared" si="4"/>
        <v>86.206896551724142</v>
      </c>
      <c r="I119" s="2">
        <v>16</v>
      </c>
      <c r="J119" s="2">
        <f t="shared" si="3"/>
        <v>0.72160000000000002</v>
      </c>
      <c r="K119" t="s">
        <v>405</v>
      </c>
      <c r="L119">
        <v>1</v>
      </c>
      <c r="M119">
        <v>24</v>
      </c>
      <c r="N119">
        <v>24</v>
      </c>
      <c r="O119">
        <v>0</v>
      </c>
      <c r="P119">
        <v>24</v>
      </c>
      <c r="Q119">
        <v>1</v>
      </c>
      <c r="R119">
        <v>24</v>
      </c>
      <c r="S119" t="s">
        <v>24</v>
      </c>
      <c r="T119" t="s">
        <v>24</v>
      </c>
      <c r="U119" t="s">
        <v>24</v>
      </c>
      <c r="V119" t="s">
        <v>25</v>
      </c>
      <c r="W119" t="s">
        <v>405</v>
      </c>
      <c r="X119" t="s">
        <v>26</v>
      </c>
      <c r="Y119" t="s">
        <v>24</v>
      </c>
    </row>
    <row r="120" spans="1:25" x14ac:dyDescent="0.35">
      <c r="A120" s="1" t="s">
        <v>406</v>
      </c>
      <c r="B120" s="1" t="s">
        <v>407</v>
      </c>
      <c r="C120" s="1" t="s">
        <v>392</v>
      </c>
      <c r="D120" s="1" t="s">
        <v>393</v>
      </c>
      <c r="E120" s="2" t="s">
        <v>2022</v>
      </c>
      <c r="F120" s="2" t="s">
        <v>1975</v>
      </c>
      <c r="G120" s="6">
        <v>980</v>
      </c>
      <c r="H120" s="8">
        <f t="shared" si="4"/>
        <v>844.82758620689663</v>
      </c>
      <c r="I120" s="2">
        <v>16</v>
      </c>
      <c r="J120" s="2">
        <f t="shared" si="3"/>
        <v>0.7455102040816326</v>
      </c>
      <c r="K120" t="s">
        <v>408</v>
      </c>
      <c r="L120">
        <v>1</v>
      </c>
      <c r="M120">
        <v>215</v>
      </c>
      <c r="N120">
        <v>215</v>
      </c>
      <c r="O120">
        <v>0</v>
      </c>
      <c r="P120">
        <v>215</v>
      </c>
      <c r="Q120">
        <v>1</v>
      </c>
      <c r="R120">
        <v>215</v>
      </c>
      <c r="S120" t="s">
        <v>24</v>
      </c>
      <c r="T120" t="s">
        <v>24</v>
      </c>
      <c r="U120" t="s">
        <v>24</v>
      </c>
      <c r="V120" t="s">
        <v>25</v>
      </c>
      <c r="W120" t="s">
        <v>408</v>
      </c>
      <c r="X120" t="s">
        <v>26</v>
      </c>
      <c r="Y120" t="s">
        <v>24</v>
      </c>
    </row>
    <row r="121" spans="1:25" x14ac:dyDescent="0.35">
      <c r="A121" s="1" t="s">
        <v>409</v>
      </c>
      <c r="B121" s="1" t="s">
        <v>410</v>
      </c>
      <c r="C121" s="1" t="s">
        <v>411</v>
      </c>
      <c r="D121" s="1" t="s">
        <v>412</v>
      </c>
      <c r="E121" s="2" t="s">
        <v>2023</v>
      </c>
      <c r="F121" s="2" t="s">
        <v>1994</v>
      </c>
      <c r="G121" s="6">
        <v>180</v>
      </c>
      <c r="H121" s="8">
        <f t="shared" si="4"/>
        <v>155.17241379310346</v>
      </c>
      <c r="I121" s="2">
        <v>16</v>
      </c>
      <c r="J121" s="2">
        <f t="shared" si="3"/>
        <v>0.75511111111111107</v>
      </c>
      <c r="K121" t="s">
        <v>413</v>
      </c>
      <c r="L121">
        <v>1</v>
      </c>
      <c r="M121">
        <v>38</v>
      </c>
      <c r="N121">
        <v>38</v>
      </c>
      <c r="O121">
        <v>0</v>
      </c>
      <c r="P121">
        <v>38</v>
      </c>
      <c r="Q121">
        <v>1</v>
      </c>
      <c r="R121">
        <v>38</v>
      </c>
      <c r="S121" t="s">
        <v>24</v>
      </c>
      <c r="T121" t="s">
        <v>24</v>
      </c>
      <c r="U121" t="s">
        <v>24</v>
      </c>
      <c r="V121" t="s">
        <v>25</v>
      </c>
      <c r="W121" t="s">
        <v>413</v>
      </c>
      <c r="X121" t="s">
        <v>26</v>
      </c>
      <c r="Y121" t="s">
        <v>24</v>
      </c>
    </row>
    <row r="122" spans="1:25" x14ac:dyDescent="0.35">
      <c r="A122" s="1" t="s">
        <v>414</v>
      </c>
      <c r="B122" s="1" t="s">
        <v>415</v>
      </c>
      <c r="C122" s="1" t="s">
        <v>265</v>
      </c>
      <c r="D122" s="1" t="s">
        <v>266</v>
      </c>
      <c r="E122" s="2" t="s">
        <v>2024</v>
      </c>
      <c r="F122" s="2" t="s">
        <v>1994</v>
      </c>
      <c r="G122" s="6">
        <v>300</v>
      </c>
      <c r="H122" s="8">
        <f t="shared" si="4"/>
        <v>258.62068965517244</v>
      </c>
      <c r="I122" s="2">
        <v>16</v>
      </c>
      <c r="J122" s="2">
        <f t="shared" si="3"/>
        <v>0.78733333333333333</v>
      </c>
      <c r="K122" t="s">
        <v>416</v>
      </c>
      <c r="L122">
        <v>5</v>
      </c>
      <c r="M122">
        <v>55</v>
      </c>
      <c r="N122">
        <v>55</v>
      </c>
      <c r="O122">
        <v>0</v>
      </c>
      <c r="P122">
        <v>275</v>
      </c>
      <c r="Q122">
        <v>5</v>
      </c>
      <c r="R122">
        <v>275</v>
      </c>
      <c r="S122" t="s">
        <v>24</v>
      </c>
      <c r="T122" t="s">
        <v>24</v>
      </c>
      <c r="U122" t="s">
        <v>24</v>
      </c>
      <c r="V122" t="s">
        <v>25</v>
      </c>
      <c r="W122" t="s">
        <v>416</v>
      </c>
      <c r="X122" t="s">
        <v>26</v>
      </c>
      <c r="Y122" t="s">
        <v>24</v>
      </c>
    </row>
    <row r="123" spans="1:25" x14ac:dyDescent="0.35">
      <c r="A123" s="1" t="s">
        <v>417</v>
      </c>
      <c r="B123" s="1" t="s">
        <v>418</v>
      </c>
      <c r="C123" s="1" t="s">
        <v>249</v>
      </c>
      <c r="D123" s="1" t="s">
        <v>250</v>
      </c>
      <c r="E123" s="2" t="s">
        <v>2025</v>
      </c>
      <c r="F123" s="2" t="s">
        <v>1994</v>
      </c>
      <c r="G123" s="6">
        <v>360</v>
      </c>
      <c r="H123" s="8">
        <f t="shared" si="4"/>
        <v>310.34482758620692</v>
      </c>
      <c r="I123" s="2">
        <v>16</v>
      </c>
      <c r="J123" s="2">
        <f t="shared" si="3"/>
        <v>0.54888888888888898</v>
      </c>
      <c r="K123" t="s">
        <v>419</v>
      </c>
      <c r="L123">
        <v>1</v>
      </c>
      <c r="M123">
        <v>140</v>
      </c>
      <c r="N123">
        <v>140</v>
      </c>
      <c r="O123">
        <v>0</v>
      </c>
      <c r="P123">
        <v>140</v>
      </c>
      <c r="Q123">
        <v>1</v>
      </c>
      <c r="R123">
        <v>140</v>
      </c>
      <c r="S123" t="s">
        <v>24</v>
      </c>
      <c r="T123" t="s">
        <v>24</v>
      </c>
      <c r="U123" t="s">
        <v>24</v>
      </c>
      <c r="V123" t="s">
        <v>25</v>
      </c>
      <c r="W123" t="s">
        <v>419</v>
      </c>
      <c r="X123" t="s">
        <v>26</v>
      </c>
      <c r="Y123" t="s">
        <v>24</v>
      </c>
    </row>
    <row r="124" spans="1:25" x14ac:dyDescent="0.35">
      <c r="A124" s="1" t="s">
        <v>420</v>
      </c>
      <c r="B124" s="1" t="s">
        <v>421</v>
      </c>
      <c r="C124" s="1" t="s">
        <v>34</v>
      </c>
      <c r="D124" s="1" t="s">
        <v>35</v>
      </c>
      <c r="E124" s="2" t="s">
        <v>2026</v>
      </c>
      <c r="F124" s="2" t="s">
        <v>1994</v>
      </c>
      <c r="G124" s="6">
        <v>800</v>
      </c>
      <c r="H124" s="8">
        <f t="shared" si="4"/>
        <v>689.65517241379314</v>
      </c>
      <c r="I124" s="2">
        <v>16</v>
      </c>
      <c r="J124" s="2">
        <f t="shared" si="3"/>
        <v>0.60944714000000011</v>
      </c>
      <c r="K124" t="s">
        <v>422</v>
      </c>
      <c r="L124">
        <v>8</v>
      </c>
      <c r="M124">
        <v>269.34679999999997</v>
      </c>
      <c r="N124">
        <v>269.34679999999997</v>
      </c>
      <c r="O124">
        <v>0</v>
      </c>
      <c r="P124">
        <v>2154.7743999999998</v>
      </c>
      <c r="Q124">
        <v>8</v>
      </c>
      <c r="R124">
        <v>2154.77</v>
      </c>
      <c r="S124" t="s">
        <v>24</v>
      </c>
      <c r="T124" t="s">
        <v>24</v>
      </c>
      <c r="U124" t="s">
        <v>24</v>
      </c>
      <c r="V124" t="s">
        <v>25</v>
      </c>
      <c r="W124" t="s">
        <v>422</v>
      </c>
      <c r="X124" t="s">
        <v>26</v>
      </c>
      <c r="Y124" t="s">
        <v>24</v>
      </c>
    </row>
    <row r="125" spans="1:25" x14ac:dyDescent="0.35">
      <c r="A125" s="1" t="s">
        <v>423</v>
      </c>
      <c r="B125" s="1" t="s">
        <v>424</v>
      </c>
      <c r="C125" s="1" t="s">
        <v>34</v>
      </c>
      <c r="D125" s="1" t="s">
        <v>35</v>
      </c>
      <c r="E125" s="2" t="s">
        <v>2027</v>
      </c>
      <c r="F125" s="2" t="s">
        <v>1994</v>
      </c>
      <c r="G125" s="6">
        <v>280</v>
      </c>
      <c r="H125" s="8">
        <f t="shared" si="4"/>
        <v>241.37931034482762</v>
      </c>
      <c r="I125" s="2">
        <v>16</v>
      </c>
      <c r="J125" s="2">
        <f t="shared" si="3"/>
        <v>0.70171428571428573</v>
      </c>
      <c r="K125" t="s">
        <v>425</v>
      </c>
      <c r="L125">
        <v>15</v>
      </c>
      <c r="M125">
        <v>72</v>
      </c>
      <c r="N125">
        <v>72</v>
      </c>
      <c r="O125">
        <v>0</v>
      </c>
      <c r="P125">
        <v>1080</v>
      </c>
      <c r="Q125">
        <v>15</v>
      </c>
      <c r="R125">
        <v>1080</v>
      </c>
      <c r="S125" t="s">
        <v>24</v>
      </c>
      <c r="T125" t="s">
        <v>24</v>
      </c>
      <c r="U125" t="s">
        <v>24</v>
      </c>
      <c r="V125" t="s">
        <v>25</v>
      </c>
      <c r="W125" t="s">
        <v>425</v>
      </c>
      <c r="X125" t="s">
        <v>26</v>
      </c>
      <c r="Y125" t="s">
        <v>24</v>
      </c>
    </row>
    <row r="126" spans="1:25" x14ac:dyDescent="0.35">
      <c r="A126" s="1" t="s">
        <v>426</v>
      </c>
      <c r="B126" s="1" t="s">
        <v>427</v>
      </c>
      <c r="C126" s="1" t="s">
        <v>387</v>
      </c>
      <c r="D126" s="1" t="s">
        <v>388</v>
      </c>
      <c r="E126" s="2" t="s">
        <v>2028</v>
      </c>
      <c r="F126" s="2" t="s">
        <v>1994</v>
      </c>
      <c r="G126" s="6">
        <v>200</v>
      </c>
      <c r="H126" s="8">
        <f t="shared" si="4"/>
        <v>172.41379310344828</v>
      </c>
      <c r="I126" s="2">
        <v>16</v>
      </c>
      <c r="J126" s="2">
        <f t="shared" si="3"/>
        <v>0.71579999999999999</v>
      </c>
      <c r="K126" t="s">
        <v>428</v>
      </c>
      <c r="L126">
        <v>5</v>
      </c>
      <c r="M126">
        <v>49</v>
      </c>
      <c r="N126">
        <v>49</v>
      </c>
      <c r="O126">
        <v>0</v>
      </c>
      <c r="P126">
        <v>245</v>
      </c>
      <c r="Q126">
        <v>5</v>
      </c>
      <c r="R126">
        <v>245</v>
      </c>
      <c r="S126" t="s">
        <v>24</v>
      </c>
      <c r="T126" t="s">
        <v>24</v>
      </c>
      <c r="U126" t="s">
        <v>24</v>
      </c>
      <c r="V126" t="s">
        <v>25</v>
      </c>
      <c r="W126" t="s">
        <v>428</v>
      </c>
      <c r="X126" t="s">
        <v>26</v>
      </c>
      <c r="Y126" t="s">
        <v>24</v>
      </c>
    </row>
    <row r="127" spans="1:25" x14ac:dyDescent="0.35">
      <c r="A127" s="1" t="s">
        <v>429</v>
      </c>
      <c r="B127" s="1" t="s">
        <v>430</v>
      </c>
      <c r="C127" s="1" t="s">
        <v>431</v>
      </c>
      <c r="D127" s="1" t="s">
        <v>432</v>
      </c>
      <c r="E127" s="2" t="s">
        <v>2029</v>
      </c>
      <c r="F127" s="2" t="s">
        <v>1994</v>
      </c>
      <c r="G127" s="6">
        <v>1180</v>
      </c>
      <c r="H127" s="8">
        <f t="shared" si="4"/>
        <v>1017.2413793103449</v>
      </c>
      <c r="I127" s="2">
        <v>16</v>
      </c>
      <c r="J127" s="2">
        <f t="shared" si="3"/>
        <v>0.83759341355932204</v>
      </c>
      <c r="K127" t="s">
        <v>433</v>
      </c>
      <c r="L127">
        <v>1</v>
      </c>
      <c r="M127">
        <v>165.20670000000001</v>
      </c>
      <c r="N127">
        <v>165.20670000000001</v>
      </c>
      <c r="O127">
        <v>0</v>
      </c>
      <c r="P127">
        <v>165.20670000000001</v>
      </c>
      <c r="Q127">
        <v>1</v>
      </c>
      <c r="R127">
        <v>165.21</v>
      </c>
      <c r="S127" t="s">
        <v>24</v>
      </c>
      <c r="T127" t="s">
        <v>24</v>
      </c>
      <c r="U127" t="s">
        <v>24</v>
      </c>
      <c r="V127" t="s">
        <v>25</v>
      </c>
      <c r="W127" t="s">
        <v>433</v>
      </c>
      <c r="X127" t="s">
        <v>26</v>
      </c>
      <c r="Y127" t="s">
        <v>24</v>
      </c>
    </row>
    <row r="128" spans="1:25" x14ac:dyDescent="0.35">
      <c r="A128" s="1" t="s">
        <v>434</v>
      </c>
      <c r="B128" s="1" t="s">
        <v>435</v>
      </c>
      <c r="C128" s="1" t="s">
        <v>392</v>
      </c>
      <c r="D128" s="1" t="s">
        <v>393</v>
      </c>
      <c r="E128" s="2" t="s">
        <v>2030</v>
      </c>
      <c r="F128" s="2" t="s">
        <v>1975</v>
      </c>
      <c r="G128" s="6">
        <v>980</v>
      </c>
      <c r="H128" s="8">
        <f t="shared" si="4"/>
        <v>844.82758620689663</v>
      </c>
      <c r="I128" s="2">
        <v>16</v>
      </c>
      <c r="J128" s="2">
        <f t="shared" si="3"/>
        <v>0.7455102040816326</v>
      </c>
      <c r="K128" t="s">
        <v>436</v>
      </c>
      <c r="L128">
        <v>1</v>
      </c>
      <c r="M128">
        <v>215</v>
      </c>
      <c r="N128">
        <v>215</v>
      </c>
      <c r="O128">
        <v>0</v>
      </c>
      <c r="P128">
        <v>215</v>
      </c>
      <c r="Q128">
        <v>1</v>
      </c>
      <c r="R128">
        <v>215</v>
      </c>
      <c r="S128" t="s">
        <v>24</v>
      </c>
      <c r="T128" t="s">
        <v>24</v>
      </c>
      <c r="U128" t="s">
        <v>24</v>
      </c>
      <c r="V128" t="s">
        <v>25</v>
      </c>
      <c r="W128" t="s">
        <v>436</v>
      </c>
      <c r="X128" t="s">
        <v>26</v>
      </c>
      <c r="Y128" t="s">
        <v>24</v>
      </c>
    </row>
    <row r="129" spans="1:25" x14ac:dyDescent="0.35">
      <c r="A129" s="1" t="s">
        <v>437</v>
      </c>
      <c r="B129" s="1" t="s">
        <v>438</v>
      </c>
      <c r="C129" s="1" t="s">
        <v>392</v>
      </c>
      <c r="D129" s="1" t="s">
        <v>393</v>
      </c>
      <c r="E129" s="2" t="s">
        <v>2031</v>
      </c>
      <c r="F129" s="2" t="s">
        <v>1975</v>
      </c>
      <c r="G129" s="6">
        <v>780</v>
      </c>
      <c r="H129" s="8">
        <f t="shared" si="4"/>
        <v>672.41379310344837</v>
      </c>
      <c r="I129" s="2">
        <v>16</v>
      </c>
      <c r="J129" s="2">
        <f t="shared" si="3"/>
        <v>0.68025641025641037</v>
      </c>
      <c r="K129" t="s">
        <v>439</v>
      </c>
      <c r="L129">
        <v>1</v>
      </c>
      <c r="M129">
        <v>215</v>
      </c>
      <c r="N129">
        <v>215</v>
      </c>
      <c r="O129">
        <v>0</v>
      </c>
      <c r="P129">
        <v>215</v>
      </c>
      <c r="Q129">
        <v>1</v>
      </c>
      <c r="R129">
        <v>215</v>
      </c>
      <c r="S129" t="s">
        <v>24</v>
      </c>
      <c r="T129" t="s">
        <v>24</v>
      </c>
      <c r="U129" t="s">
        <v>24</v>
      </c>
      <c r="V129" t="s">
        <v>25</v>
      </c>
      <c r="W129" t="s">
        <v>439</v>
      </c>
      <c r="X129" t="s">
        <v>26</v>
      </c>
      <c r="Y129" t="s">
        <v>24</v>
      </c>
    </row>
    <row r="130" spans="1:25" x14ac:dyDescent="0.35">
      <c r="A130" s="1" t="s">
        <v>440</v>
      </c>
      <c r="B130" s="1" t="s">
        <v>441</v>
      </c>
      <c r="C130" s="1" t="s">
        <v>387</v>
      </c>
      <c r="D130" s="1" t="s">
        <v>388</v>
      </c>
      <c r="E130" s="2" t="s">
        <v>2032</v>
      </c>
      <c r="F130" s="2" t="s">
        <v>1994</v>
      </c>
      <c r="G130" s="6">
        <v>40</v>
      </c>
      <c r="H130" s="8">
        <f t="shared" si="4"/>
        <v>34.482758620689658</v>
      </c>
      <c r="I130" s="2">
        <v>16</v>
      </c>
      <c r="J130" s="2">
        <f t="shared" si="3"/>
        <v>-0.61119069999999986</v>
      </c>
      <c r="K130" t="s">
        <v>442</v>
      </c>
      <c r="L130">
        <v>15</v>
      </c>
      <c r="M130">
        <v>55.558300000000003</v>
      </c>
      <c r="N130">
        <v>55.558300000000003</v>
      </c>
      <c r="O130">
        <v>0</v>
      </c>
      <c r="P130">
        <v>833.37450000000001</v>
      </c>
      <c r="Q130">
        <v>15</v>
      </c>
      <c r="R130">
        <v>833.37</v>
      </c>
      <c r="S130" t="s">
        <v>24</v>
      </c>
      <c r="T130" t="s">
        <v>24</v>
      </c>
      <c r="U130" t="s">
        <v>24</v>
      </c>
      <c r="V130" t="s">
        <v>25</v>
      </c>
      <c r="W130" t="s">
        <v>442</v>
      </c>
      <c r="X130" t="s">
        <v>26</v>
      </c>
      <c r="Y130" t="s">
        <v>24</v>
      </c>
    </row>
    <row r="131" spans="1:25" x14ac:dyDescent="0.35">
      <c r="A131" s="1" t="s">
        <v>443</v>
      </c>
      <c r="B131" s="1" t="s">
        <v>444</v>
      </c>
      <c r="C131" s="1" t="s">
        <v>445</v>
      </c>
      <c r="D131" s="1" t="s">
        <v>446</v>
      </c>
      <c r="E131" s="2" t="s">
        <v>2033</v>
      </c>
      <c r="F131" s="2" t="s">
        <v>1994</v>
      </c>
      <c r="G131" s="6">
        <v>180</v>
      </c>
      <c r="H131" s="8">
        <f t="shared" si="4"/>
        <v>155.17241379310346</v>
      </c>
      <c r="I131" s="2">
        <v>16</v>
      </c>
      <c r="J131" s="2">
        <f t="shared" ref="J131:J194" si="5">1-M131/H131</f>
        <v>0.77122222222222225</v>
      </c>
      <c r="K131" t="s">
        <v>447</v>
      </c>
      <c r="L131">
        <v>21</v>
      </c>
      <c r="M131">
        <v>35.5</v>
      </c>
      <c r="N131">
        <v>35.5</v>
      </c>
      <c r="O131">
        <v>0</v>
      </c>
      <c r="P131">
        <v>745.5</v>
      </c>
      <c r="Q131">
        <v>21</v>
      </c>
      <c r="R131">
        <v>745.5</v>
      </c>
      <c r="S131" t="s">
        <v>24</v>
      </c>
      <c r="T131" t="s">
        <v>24</v>
      </c>
      <c r="U131" t="s">
        <v>24</v>
      </c>
      <c r="V131" t="s">
        <v>25</v>
      </c>
      <c r="W131" t="s">
        <v>447</v>
      </c>
      <c r="X131" t="s">
        <v>26</v>
      </c>
      <c r="Y131" t="s">
        <v>24</v>
      </c>
    </row>
    <row r="132" spans="1:25" x14ac:dyDescent="0.35">
      <c r="A132" s="1" t="s">
        <v>448</v>
      </c>
      <c r="B132" s="1" t="s">
        <v>449</v>
      </c>
      <c r="C132" s="1" t="s">
        <v>292</v>
      </c>
      <c r="D132" s="1" t="s">
        <v>293</v>
      </c>
      <c r="E132" s="2" t="s">
        <v>2034</v>
      </c>
      <c r="F132" s="2" t="s">
        <v>1994</v>
      </c>
      <c r="G132" s="6">
        <v>140</v>
      </c>
      <c r="H132" s="8">
        <f t="shared" ref="H132:H195" si="6">+G132/(1+I132/100)</f>
        <v>120.68965517241381</v>
      </c>
      <c r="I132" s="2">
        <v>16</v>
      </c>
      <c r="J132" s="2">
        <f t="shared" si="5"/>
        <v>0.86328571428571432</v>
      </c>
      <c r="K132" t="s">
        <v>450</v>
      </c>
      <c r="L132">
        <v>52</v>
      </c>
      <c r="M132">
        <v>16.5</v>
      </c>
      <c r="N132">
        <v>16.5</v>
      </c>
      <c r="O132">
        <v>0</v>
      </c>
      <c r="P132">
        <v>858</v>
      </c>
      <c r="Q132">
        <v>52</v>
      </c>
      <c r="R132">
        <v>858</v>
      </c>
      <c r="S132" t="s">
        <v>24</v>
      </c>
      <c r="T132" t="s">
        <v>24</v>
      </c>
      <c r="U132" t="s">
        <v>24</v>
      </c>
      <c r="V132" t="s">
        <v>25</v>
      </c>
      <c r="W132" t="s">
        <v>450</v>
      </c>
      <c r="X132" t="s">
        <v>26</v>
      </c>
      <c r="Y132" t="s">
        <v>24</v>
      </c>
    </row>
    <row r="133" spans="1:25" x14ac:dyDescent="0.35">
      <c r="A133" s="1" t="s">
        <v>451</v>
      </c>
      <c r="B133" s="1" t="s">
        <v>452</v>
      </c>
      <c r="C133" s="1" t="s">
        <v>453</v>
      </c>
      <c r="D133" s="1" t="s">
        <v>454</v>
      </c>
      <c r="E133" s="2" t="s">
        <v>2035</v>
      </c>
      <c r="F133" s="2" t="s">
        <v>1994</v>
      </c>
      <c r="G133" s="6">
        <v>100</v>
      </c>
      <c r="H133" s="8">
        <f t="shared" si="6"/>
        <v>86.206896551724142</v>
      </c>
      <c r="I133" s="2">
        <v>16</v>
      </c>
      <c r="J133" s="2">
        <f t="shared" si="5"/>
        <v>0.73668</v>
      </c>
      <c r="K133" t="s">
        <v>455</v>
      </c>
      <c r="L133">
        <v>2</v>
      </c>
      <c r="M133">
        <v>22.7</v>
      </c>
      <c r="N133">
        <v>22.7</v>
      </c>
      <c r="O133">
        <v>0</v>
      </c>
      <c r="P133">
        <v>45.4</v>
      </c>
      <c r="Q133">
        <v>2</v>
      </c>
      <c r="R133">
        <v>45.4</v>
      </c>
      <c r="S133" t="s">
        <v>24</v>
      </c>
      <c r="T133" t="s">
        <v>24</v>
      </c>
      <c r="U133" t="s">
        <v>24</v>
      </c>
      <c r="V133" t="s">
        <v>25</v>
      </c>
      <c r="W133" t="s">
        <v>455</v>
      </c>
      <c r="X133" t="s">
        <v>26</v>
      </c>
      <c r="Y133" t="s">
        <v>24</v>
      </c>
    </row>
    <row r="134" spans="1:25" x14ac:dyDescent="0.35">
      <c r="A134" s="1" t="s">
        <v>456</v>
      </c>
      <c r="B134" s="1" t="s">
        <v>457</v>
      </c>
      <c r="C134" s="1" t="s">
        <v>254</v>
      </c>
      <c r="D134" s="1" t="s">
        <v>255</v>
      </c>
      <c r="E134" s="2" t="s">
        <v>2036</v>
      </c>
      <c r="F134" s="2" t="s">
        <v>1994</v>
      </c>
      <c r="G134" s="6">
        <v>240</v>
      </c>
      <c r="H134" s="8">
        <f t="shared" si="6"/>
        <v>206.89655172413794</v>
      </c>
      <c r="I134" s="2">
        <v>16</v>
      </c>
      <c r="J134" s="2">
        <f t="shared" si="5"/>
        <v>0.83070621666666666</v>
      </c>
      <c r="K134" t="s">
        <v>458</v>
      </c>
      <c r="L134">
        <v>3</v>
      </c>
      <c r="M134">
        <v>35.026299999999999</v>
      </c>
      <c r="N134">
        <v>35.026299999999999</v>
      </c>
      <c r="O134">
        <v>0</v>
      </c>
      <c r="P134">
        <v>105.0789</v>
      </c>
      <c r="Q134">
        <v>3</v>
      </c>
      <c r="R134">
        <v>105.08</v>
      </c>
      <c r="S134" t="s">
        <v>24</v>
      </c>
      <c r="T134" t="s">
        <v>24</v>
      </c>
      <c r="U134" t="s">
        <v>24</v>
      </c>
      <c r="V134" t="s">
        <v>25</v>
      </c>
      <c r="W134" t="s">
        <v>458</v>
      </c>
      <c r="X134" t="s">
        <v>26</v>
      </c>
      <c r="Y134" t="s">
        <v>24</v>
      </c>
    </row>
    <row r="135" spans="1:25" x14ac:dyDescent="0.35">
      <c r="A135" s="1" t="s">
        <v>459</v>
      </c>
      <c r="B135" s="1" t="s">
        <v>460</v>
      </c>
      <c r="C135" s="1" t="s">
        <v>249</v>
      </c>
      <c r="D135" s="1" t="s">
        <v>250</v>
      </c>
      <c r="E135" s="2" t="s">
        <v>2037</v>
      </c>
      <c r="F135" s="2" t="s">
        <v>1994</v>
      </c>
      <c r="G135" s="6">
        <v>180</v>
      </c>
      <c r="H135" s="8">
        <f t="shared" si="6"/>
        <v>155.17241379310346</v>
      </c>
      <c r="I135" s="2">
        <v>16</v>
      </c>
      <c r="J135" s="2">
        <f t="shared" si="5"/>
        <v>0.67777777777777781</v>
      </c>
      <c r="K135" t="s">
        <v>461</v>
      </c>
      <c r="L135">
        <v>5</v>
      </c>
      <c r="M135">
        <v>50</v>
      </c>
      <c r="N135">
        <v>50</v>
      </c>
      <c r="O135">
        <v>0</v>
      </c>
      <c r="P135">
        <v>250</v>
      </c>
      <c r="Q135">
        <v>5</v>
      </c>
      <c r="R135">
        <v>250</v>
      </c>
      <c r="S135" t="s">
        <v>24</v>
      </c>
      <c r="T135" t="s">
        <v>24</v>
      </c>
      <c r="U135" t="s">
        <v>24</v>
      </c>
      <c r="V135" t="s">
        <v>25</v>
      </c>
      <c r="W135" t="s">
        <v>461</v>
      </c>
      <c r="X135" t="s">
        <v>26</v>
      </c>
      <c r="Y135" t="s">
        <v>24</v>
      </c>
    </row>
    <row r="136" spans="1:25" x14ac:dyDescent="0.35">
      <c r="A136" s="1" t="s">
        <v>462</v>
      </c>
      <c r="B136" s="1" t="s">
        <v>463</v>
      </c>
      <c r="C136" s="1" t="s">
        <v>453</v>
      </c>
      <c r="D136" s="1" t="s">
        <v>454</v>
      </c>
      <c r="E136" s="2" t="s">
        <v>2038</v>
      </c>
      <c r="F136" s="2" t="s">
        <v>1994</v>
      </c>
      <c r="G136" s="6">
        <v>2400</v>
      </c>
      <c r="H136" s="8">
        <f t="shared" si="6"/>
        <v>2068.9655172413795</v>
      </c>
      <c r="I136" s="2">
        <v>16</v>
      </c>
      <c r="J136" s="2">
        <f t="shared" si="5"/>
        <v>0.83035000000000003</v>
      </c>
      <c r="K136" t="s">
        <v>464</v>
      </c>
      <c r="L136">
        <v>1</v>
      </c>
      <c r="M136">
        <v>351</v>
      </c>
      <c r="N136">
        <v>351</v>
      </c>
      <c r="O136">
        <v>0</v>
      </c>
      <c r="P136">
        <v>351</v>
      </c>
      <c r="Q136">
        <v>1</v>
      </c>
      <c r="R136">
        <v>351</v>
      </c>
      <c r="S136" t="s">
        <v>24</v>
      </c>
      <c r="T136" t="s">
        <v>24</v>
      </c>
      <c r="U136" t="s">
        <v>24</v>
      </c>
      <c r="V136" t="s">
        <v>25</v>
      </c>
      <c r="W136" t="s">
        <v>464</v>
      </c>
      <c r="X136" t="s">
        <v>26</v>
      </c>
      <c r="Y136" t="s">
        <v>24</v>
      </c>
    </row>
    <row r="137" spans="1:25" x14ac:dyDescent="0.35">
      <c r="A137" s="1" t="s">
        <v>465</v>
      </c>
      <c r="B137" s="1" t="s">
        <v>466</v>
      </c>
      <c r="C137" s="1" t="s">
        <v>467</v>
      </c>
      <c r="D137" s="1" t="s">
        <v>468</v>
      </c>
      <c r="E137" s="2" t="s">
        <v>2039</v>
      </c>
      <c r="F137" s="2" t="s">
        <v>1994</v>
      </c>
      <c r="G137" s="6">
        <v>900</v>
      </c>
      <c r="H137" s="8">
        <f t="shared" si="6"/>
        <v>775.86206896551732</v>
      </c>
      <c r="I137" s="2">
        <v>16</v>
      </c>
      <c r="J137" s="2">
        <f t="shared" si="5"/>
        <v>0.76450260000000003</v>
      </c>
      <c r="K137" t="s">
        <v>469</v>
      </c>
      <c r="L137">
        <v>2</v>
      </c>
      <c r="M137">
        <v>182.71350000000001</v>
      </c>
      <c r="N137">
        <v>182.71350000000001</v>
      </c>
      <c r="O137">
        <v>0</v>
      </c>
      <c r="P137">
        <v>365.42700000000002</v>
      </c>
      <c r="Q137">
        <v>2</v>
      </c>
      <c r="R137">
        <v>365.43</v>
      </c>
      <c r="S137" t="s">
        <v>24</v>
      </c>
      <c r="T137" t="s">
        <v>24</v>
      </c>
      <c r="U137" t="s">
        <v>24</v>
      </c>
      <c r="V137" t="s">
        <v>25</v>
      </c>
      <c r="W137" t="s">
        <v>469</v>
      </c>
      <c r="X137" t="s">
        <v>26</v>
      </c>
      <c r="Y137" t="s">
        <v>24</v>
      </c>
    </row>
    <row r="138" spans="1:25" x14ac:dyDescent="0.35">
      <c r="A138" s="1" t="s">
        <v>470</v>
      </c>
      <c r="B138" s="1" t="s">
        <v>471</v>
      </c>
      <c r="C138" s="1" t="s">
        <v>282</v>
      </c>
      <c r="D138" s="1" t="s">
        <v>283</v>
      </c>
      <c r="E138" s="2" t="s">
        <v>2040</v>
      </c>
      <c r="F138" s="2" t="s">
        <v>1994</v>
      </c>
      <c r="G138" s="6">
        <v>300</v>
      </c>
      <c r="H138" s="8">
        <f t="shared" si="6"/>
        <v>258.62068965517244</v>
      </c>
      <c r="I138" s="2">
        <v>16</v>
      </c>
      <c r="J138" s="2">
        <f t="shared" si="5"/>
        <v>0.7718666666666667</v>
      </c>
      <c r="K138" t="s">
        <v>472</v>
      </c>
      <c r="L138">
        <v>4</v>
      </c>
      <c r="M138">
        <v>59</v>
      </c>
      <c r="N138">
        <v>59</v>
      </c>
      <c r="O138">
        <v>0</v>
      </c>
      <c r="P138">
        <v>236</v>
      </c>
      <c r="Q138">
        <v>4</v>
      </c>
      <c r="R138">
        <v>236</v>
      </c>
      <c r="S138" t="s">
        <v>24</v>
      </c>
      <c r="T138" t="s">
        <v>24</v>
      </c>
      <c r="U138" t="s">
        <v>24</v>
      </c>
      <c r="V138" t="s">
        <v>25</v>
      </c>
      <c r="W138" t="s">
        <v>472</v>
      </c>
      <c r="X138" t="s">
        <v>26</v>
      </c>
      <c r="Y138" t="s">
        <v>24</v>
      </c>
    </row>
    <row r="139" spans="1:25" x14ac:dyDescent="0.35">
      <c r="A139" s="1" t="s">
        <v>473</v>
      </c>
      <c r="B139" s="1" t="s">
        <v>474</v>
      </c>
      <c r="C139" s="1" t="s">
        <v>475</v>
      </c>
      <c r="D139" s="1" t="s">
        <v>476</v>
      </c>
      <c r="E139" s="2" t="s">
        <v>2041</v>
      </c>
      <c r="F139" s="2" t="s">
        <v>1994</v>
      </c>
      <c r="G139" s="6">
        <v>200</v>
      </c>
      <c r="H139" s="8">
        <f t="shared" si="6"/>
        <v>172.41379310344828</v>
      </c>
      <c r="I139" s="2">
        <v>16</v>
      </c>
      <c r="J139" s="2">
        <f t="shared" si="5"/>
        <v>0.65371796000000004</v>
      </c>
      <c r="K139" t="s">
        <v>477</v>
      </c>
      <c r="L139">
        <v>8</v>
      </c>
      <c r="M139">
        <v>59.703800000000001</v>
      </c>
      <c r="N139">
        <v>59.703800000000001</v>
      </c>
      <c r="O139">
        <v>0</v>
      </c>
      <c r="P139">
        <v>477.63040000000001</v>
      </c>
      <c r="Q139">
        <v>8</v>
      </c>
      <c r="R139">
        <v>477.63</v>
      </c>
      <c r="S139" t="s">
        <v>24</v>
      </c>
      <c r="T139" t="s">
        <v>24</v>
      </c>
      <c r="U139" t="s">
        <v>24</v>
      </c>
      <c r="V139" t="s">
        <v>25</v>
      </c>
      <c r="W139" t="s">
        <v>477</v>
      </c>
      <c r="X139" t="s">
        <v>26</v>
      </c>
      <c r="Y139" t="s">
        <v>24</v>
      </c>
    </row>
    <row r="140" spans="1:25" x14ac:dyDescent="0.35">
      <c r="A140" s="1" t="s">
        <v>478</v>
      </c>
      <c r="B140" s="1" t="s">
        <v>479</v>
      </c>
      <c r="C140" s="1" t="s">
        <v>265</v>
      </c>
      <c r="D140" s="1" t="s">
        <v>266</v>
      </c>
      <c r="E140" s="2" t="s">
        <v>2042</v>
      </c>
      <c r="F140" s="2" t="s">
        <v>1994</v>
      </c>
      <c r="G140" s="6">
        <v>220</v>
      </c>
      <c r="H140" s="8">
        <f t="shared" si="6"/>
        <v>189.65517241379311</v>
      </c>
      <c r="I140" s="2">
        <v>16</v>
      </c>
      <c r="J140" s="2">
        <f t="shared" si="5"/>
        <v>0.72581818181818181</v>
      </c>
      <c r="K140" t="s">
        <v>480</v>
      </c>
      <c r="L140">
        <v>6</v>
      </c>
      <c r="M140">
        <v>52</v>
      </c>
      <c r="N140">
        <v>52</v>
      </c>
      <c r="O140">
        <v>0</v>
      </c>
      <c r="P140">
        <v>312</v>
      </c>
      <c r="Q140">
        <v>6</v>
      </c>
      <c r="R140">
        <v>312</v>
      </c>
      <c r="S140" t="s">
        <v>24</v>
      </c>
      <c r="T140" t="s">
        <v>24</v>
      </c>
      <c r="U140" t="s">
        <v>24</v>
      </c>
      <c r="V140" t="s">
        <v>25</v>
      </c>
      <c r="W140" t="s">
        <v>480</v>
      </c>
      <c r="X140" t="s">
        <v>26</v>
      </c>
      <c r="Y140" t="s">
        <v>24</v>
      </c>
    </row>
    <row r="141" spans="1:25" x14ac:dyDescent="0.35">
      <c r="A141" s="1" t="s">
        <v>481</v>
      </c>
      <c r="B141" s="1" t="s">
        <v>482</v>
      </c>
      <c r="C141" s="1" t="s">
        <v>411</v>
      </c>
      <c r="D141" s="1" t="s">
        <v>412</v>
      </c>
      <c r="E141" s="2" t="s">
        <v>2043</v>
      </c>
      <c r="F141" s="2" t="s">
        <v>1994</v>
      </c>
      <c r="G141" s="6">
        <v>540</v>
      </c>
      <c r="H141" s="8">
        <f t="shared" si="6"/>
        <v>465.51724137931035</v>
      </c>
      <c r="I141" s="2">
        <v>16</v>
      </c>
      <c r="J141" s="2">
        <f t="shared" si="5"/>
        <v>0.80666666666666664</v>
      </c>
      <c r="K141" t="s">
        <v>483</v>
      </c>
      <c r="L141">
        <v>1</v>
      </c>
      <c r="M141">
        <v>90</v>
      </c>
      <c r="N141">
        <v>90</v>
      </c>
      <c r="O141">
        <v>0</v>
      </c>
      <c r="P141">
        <v>90</v>
      </c>
      <c r="Q141">
        <v>1</v>
      </c>
      <c r="R141">
        <v>90</v>
      </c>
      <c r="S141" t="s">
        <v>24</v>
      </c>
      <c r="T141" t="s">
        <v>24</v>
      </c>
      <c r="U141" t="s">
        <v>24</v>
      </c>
      <c r="V141" t="s">
        <v>25</v>
      </c>
      <c r="W141" t="s">
        <v>483</v>
      </c>
      <c r="X141" t="s">
        <v>26</v>
      </c>
      <c r="Y141" t="s">
        <v>24</v>
      </c>
    </row>
    <row r="142" spans="1:25" x14ac:dyDescent="0.35">
      <c r="A142" s="1" t="s">
        <v>484</v>
      </c>
      <c r="B142" s="1" t="s">
        <v>485</v>
      </c>
      <c r="C142" s="1" t="s">
        <v>387</v>
      </c>
      <c r="D142" s="1" t="s">
        <v>388</v>
      </c>
      <c r="E142" s="2" t="s">
        <v>2044</v>
      </c>
      <c r="F142" s="2" t="s">
        <v>1994</v>
      </c>
      <c r="G142" s="6">
        <v>240</v>
      </c>
      <c r="H142" s="8">
        <f t="shared" si="6"/>
        <v>206.89655172413794</v>
      </c>
      <c r="I142" s="2">
        <v>16</v>
      </c>
      <c r="J142" s="2">
        <f t="shared" si="5"/>
        <v>0.79216666666666669</v>
      </c>
      <c r="K142" t="s">
        <v>486</v>
      </c>
      <c r="L142">
        <v>1</v>
      </c>
      <c r="M142">
        <v>43</v>
      </c>
      <c r="N142">
        <v>43</v>
      </c>
      <c r="O142">
        <v>0</v>
      </c>
      <c r="P142">
        <v>43</v>
      </c>
      <c r="Q142">
        <v>1</v>
      </c>
      <c r="R142">
        <v>43</v>
      </c>
      <c r="S142" t="s">
        <v>24</v>
      </c>
      <c r="T142" t="s">
        <v>24</v>
      </c>
      <c r="U142" t="s">
        <v>24</v>
      </c>
      <c r="V142" t="s">
        <v>25</v>
      </c>
      <c r="W142" t="s">
        <v>486</v>
      </c>
      <c r="X142" t="s">
        <v>26</v>
      </c>
      <c r="Y142" t="s">
        <v>24</v>
      </c>
    </row>
    <row r="143" spans="1:25" x14ac:dyDescent="0.35">
      <c r="A143" s="1" t="s">
        <v>487</v>
      </c>
      <c r="B143" s="1" t="s">
        <v>488</v>
      </c>
      <c r="C143" s="1" t="s">
        <v>387</v>
      </c>
      <c r="D143" s="1" t="s">
        <v>388</v>
      </c>
      <c r="E143" s="2" t="s">
        <v>2045</v>
      </c>
      <c r="F143" s="2" t="s">
        <v>1994</v>
      </c>
      <c r="G143" s="6">
        <v>240</v>
      </c>
      <c r="H143" s="8">
        <f t="shared" si="6"/>
        <v>206.89655172413794</v>
      </c>
      <c r="I143" s="2">
        <v>16</v>
      </c>
      <c r="J143" s="2">
        <f t="shared" si="5"/>
        <v>0.73416666666666663</v>
      </c>
      <c r="K143" t="s">
        <v>489</v>
      </c>
      <c r="L143">
        <v>3</v>
      </c>
      <c r="M143">
        <v>55</v>
      </c>
      <c r="N143">
        <v>55</v>
      </c>
      <c r="O143">
        <v>0</v>
      </c>
      <c r="P143">
        <v>165</v>
      </c>
      <c r="Q143">
        <v>3</v>
      </c>
      <c r="R143">
        <v>165</v>
      </c>
      <c r="S143" t="s">
        <v>24</v>
      </c>
      <c r="T143" t="s">
        <v>24</v>
      </c>
      <c r="U143" t="s">
        <v>24</v>
      </c>
      <c r="V143" t="s">
        <v>25</v>
      </c>
      <c r="W143" t="s">
        <v>489</v>
      </c>
      <c r="X143" t="s">
        <v>26</v>
      </c>
      <c r="Y143" t="s">
        <v>24</v>
      </c>
    </row>
    <row r="144" spans="1:25" x14ac:dyDescent="0.35">
      <c r="A144" s="1" t="s">
        <v>490</v>
      </c>
      <c r="B144" s="1" t="s">
        <v>491</v>
      </c>
      <c r="C144" s="1" t="s">
        <v>492</v>
      </c>
      <c r="D144" s="1" t="s">
        <v>493</v>
      </c>
      <c r="E144" s="2" t="s">
        <v>2046</v>
      </c>
      <c r="F144" s="2" t="s">
        <v>1994</v>
      </c>
      <c r="G144" s="6">
        <v>140</v>
      </c>
      <c r="H144" s="8">
        <f t="shared" si="6"/>
        <v>120.68965517241381</v>
      </c>
      <c r="I144" s="2">
        <v>16</v>
      </c>
      <c r="J144" s="2">
        <f t="shared" si="5"/>
        <v>0.71</v>
      </c>
      <c r="K144" t="s">
        <v>494</v>
      </c>
      <c r="L144">
        <v>24</v>
      </c>
      <c r="M144">
        <v>35</v>
      </c>
      <c r="N144">
        <v>35</v>
      </c>
      <c r="O144">
        <v>0</v>
      </c>
      <c r="P144">
        <v>840</v>
      </c>
      <c r="Q144">
        <v>24</v>
      </c>
      <c r="R144">
        <v>840</v>
      </c>
      <c r="S144" t="s">
        <v>24</v>
      </c>
      <c r="T144" t="s">
        <v>24</v>
      </c>
      <c r="U144" t="s">
        <v>24</v>
      </c>
      <c r="V144" t="s">
        <v>25</v>
      </c>
      <c r="W144" t="s">
        <v>494</v>
      </c>
      <c r="X144" t="s">
        <v>26</v>
      </c>
      <c r="Y144" t="s">
        <v>24</v>
      </c>
    </row>
    <row r="145" spans="1:25" x14ac:dyDescent="0.35">
      <c r="A145" s="1" t="s">
        <v>495</v>
      </c>
      <c r="B145" s="1" t="s">
        <v>496</v>
      </c>
      <c r="C145" s="1" t="s">
        <v>265</v>
      </c>
      <c r="D145" s="1" t="s">
        <v>266</v>
      </c>
      <c r="E145" s="2" t="s">
        <v>2047</v>
      </c>
      <c r="F145" s="2" t="s">
        <v>1994</v>
      </c>
      <c r="G145" s="6">
        <v>180</v>
      </c>
      <c r="H145" s="8">
        <f t="shared" si="6"/>
        <v>155.17241379310346</v>
      </c>
      <c r="I145" s="2">
        <v>16</v>
      </c>
      <c r="J145" s="2">
        <f t="shared" si="5"/>
        <v>0.7937777777777778</v>
      </c>
      <c r="K145" t="s">
        <v>497</v>
      </c>
      <c r="L145">
        <v>9</v>
      </c>
      <c r="M145">
        <v>32</v>
      </c>
      <c r="N145">
        <v>32</v>
      </c>
      <c r="O145">
        <v>0</v>
      </c>
      <c r="P145">
        <v>288</v>
      </c>
      <c r="Q145">
        <v>9</v>
      </c>
      <c r="R145">
        <v>288</v>
      </c>
      <c r="S145" t="s">
        <v>24</v>
      </c>
      <c r="T145" t="s">
        <v>24</v>
      </c>
      <c r="U145" t="s">
        <v>24</v>
      </c>
      <c r="V145" t="s">
        <v>25</v>
      </c>
      <c r="W145" t="s">
        <v>497</v>
      </c>
      <c r="X145" t="s">
        <v>26</v>
      </c>
      <c r="Y145" t="s">
        <v>24</v>
      </c>
    </row>
    <row r="146" spans="1:25" x14ac:dyDescent="0.35">
      <c r="A146" s="1" t="s">
        <v>498</v>
      </c>
      <c r="B146" s="1" t="s">
        <v>499</v>
      </c>
      <c r="C146" s="1" t="s">
        <v>249</v>
      </c>
      <c r="D146" s="1" t="s">
        <v>250</v>
      </c>
      <c r="E146" s="2" t="s">
        <v>2048</v>
      </c>
      <c r="F146" s="2" t="s">
        <v>1994</v>
      </c>
      <c r="G146" s="6">
        <v>200</v>
      </c>
      <c r="H146" s="8">
        <f t="shared" si="6"/>
        <v>172.41379310344828</v>
      </c>
      <c r="I146" s="2">
        <v>16</v>
      </c>
      <c r="J146" s="2">
        <f t="shared" si="5"/>
        <v>0.59503530000000004</v>
      </c>
      <c r="K146" t="s">
        <v>500</v>
      </c>
      <c r="L146">
        <v>2</v>
      </c>
      <c r="M146">
        <v>69.8215</v>
      </c>
      <c r="N146">
        <v>69.8215</v>
      </c>
      <c r="O146">
        <v>0</v>
      </c>
      <c r="P146">
        <v>139.643</v>
      </c>
      <c r="Q146">
        <v>2</v>
      </c>
      <c r="R146">
        <v>139.63999999999999</v>
      </c>
      <c r="S146" t="s">
        <v>24</v>
      </c>
      <c r="T146" t="s">
        <v>24</v>
      </c>
      <c r="U146" t="s">
        <v>24</v>
      </c>
      <c r="V146" t="s">
        <v>25</v>
      </c>
      <c r="W146" t="s">
        <v>500</v>
      </c>
      <c r="X146" t="s">
        <v>26</v>
      </c>
      <c r="Y146" t="s">
        <v>24</v>
      </c>
    </row>
    <row r="147" spans="1:25" x14ac:dyDescent="0.35">
      <c r="A147" s="1" t="s">
        <v>501</v>
      </c>
      <c r="B147" s="1" t="s">
        <v>502</v>
      </c>
      <c r="C147" s="1" t="s">
        <v>282</v>
      </c>
      <c r="D147" s="1" t="s">
        <v>283</v>
      </c>
      <c r="E147" s="2" t="s">
        <v>2049</v>
      </c>
      <c r="F147" s="2" t="s">
        <v>1994</v>
      </c>
      <c r="G147" s="6">
        <v>440</v>
      </c>
      <c r="H147" s="8">
        <f t="shared" si="6"/>
        <v>379.31034482758622</v>
      </c>
      <c r="I147" s="2">
        <v>16</v>
      </c>
      <c r="J147" s="2">
        <f t="shared" si="5"/>
        <v>0.76536363636363636</v>
      </c>
      <c r="K147" t="s">
        <v>503</v>
      </c>
      <c r="L147">
        <v>2</v>
      </c>
      <c r="M147">
        <v>89</v>
      </c>
      <c r="N147">
        <v>89</v>
      </c>
      <c r="O147">
        <v>0</v>
      </c>
      <c r="P147">
        <v>178</v>
      </c>
      <c r="Q147">
        <v>2</v>
      </c>
      <c r="R147">
        <v>178</v>
      </c>
      <c r="S147" t="s">
        <v>24</v>
      </c>
      <c r="T147" t="s">
        <v>24</v>
      </c>
      <c r="U147" t="s">
        <v>24</v>
      </c>
      <c r="V147" t="s">
        <v>25</v>
      </c>
      <c r="W147" t="s">
        <v>503</v>
      </c>
      <c r="X147" t="s">
        <v>26</v>
      </c>
      <c r="Y147" t="s">
        <v>24</v>
      </c>
    </row>
    <row r="148" spans="1:25" x14ac:dyDescent="0.35">
      <c r="A148" s="1" t="s">
        <v>504</v>
      </c>
      <c r="B148" s="1" t="s">
        <v>505</v>
      </c>
      <c r="C148" s="1" t="s">
        <v>387</v>
      </c>
      <c r="D148" s="1" t="s">
        <v>388</v>
      </c>
      <c r="E148" s="2" t="s">
        <v>2050</v>
      </c>
      <c r="F148" s="2" t="s">
        <v>1994</v>
      </c>
      <c r="G148" s="6">
        <v>300</v>
      </c>
      <c r="H148" s="8">
        <f t="shared" si="6"/>
        <v>258.62068965517244</v>
      </c>
      <c r="I148" s="2">
        <v>16</v>
      </c>
      <c r="J148" s="2">
        <f t="shared" si="5"/>
        <v>0.65200000000000002</v>
      </c>
      <c r="K148" t="s">
        <v>506</v>
      </c>
      <c r="L148">
        <v>3</v>
      </c>
      <c r="M148">
        <v>90</v>
      </c>
      <c r="N148">
        <v>90</v>
      </c>
      <c r="O148">
        <v>0</v>
      </c>
      <c r="P148">
        <v>270</v>
      </c>
      <c r="Q148">
        <v>3</v>
      </c>
      <c r="R148">
        <v>270</v>
      </c>
      <c r="S148" t="s">
        <v>24</v>
      </c>
      <c r="T148" t="s">
        <v>24</v>
      </c>
      <c r="U148" t="s">
        <v>24</v>
      </c>
      <c r="V148" t="s">
        <v>25</v>
      </c>
      <c r="W148" t="s">
        <v>506</v>
      </c>
      <c r="X148" t="s">
        <v>26</v>
      </c>
      <c r="Y148" t="s">
        <v>24</v>
      </c>
    </row>
    <row r="149" spans="1:25" x14ac:dyDescent="0.35">
      <c r="A149" s="1" t="s">
        <v>507</v>
      </c>
      <c r="B149" s="1" t="s">
        <v>508</v>
      </c>
      <c r="C149" s="1" t="s">
        <v>265</v>
      </c>
      <c r="D149" s="1" t="s">
        <v>266</v>
      </c>
      <c r="E149" s="2" t="s">
        <v>2051</v>
      </c>
      <c r="F149" s="2" t="s">
        <v>1994</v>
      </c>
      <c r="G149" s="6">
        <v>100</v>
      </c>
      <c r="H149" s="8">
        <f t="shared" si="6"/>
        <v>86.206896551724142</v>
      </c>
      <c r="I149" s="2">
        <v>16</v>
      </c>
      <c r="J149" s="2">
        <f t="shared" si="5"/>
        <v>0.57079999999999997</v>
      </c>
      <c r="K149" t="s">
        <v>509</v>
      </c>
      <c r="L149">
        <v>2</v>
      </c>
      <c r="M149">
        <v>37</v>
      </c>
      <c r="N149">
        <v>37</v>
      </c>
      <c r="O149">
        <v>0</v>
      </c>
      <c r="P149">
        <v>74</v>
      </c>
      <c r="Q149">
        <v>2</v>
      </c>
      <c r="R149">
        <v>74</v>
      </c>
      <c r="S149" t="s">
        <v>24</v>
      </c>
      <c r="T149" t="s">
        <v>24</v>
      </c>
      <c r="U149" t="s">
        <v>24</v>
      </c>
      <c r="V149" t="s">
        <v>25</v>
      </c>
      <c r="W149" t="s">
        <v>509</v>
      </c>
      <c r="X149" t="s">
        <v>26</v>
      </c>
      <c r="Y149" t="s">
        <v>24</v>
      </c>
    </row>
    <row r="150" spans="1:25" x14ac:dyDescent="0.35">
      <c r="A150" s="1" t="s">
        <v>510</v>
      </c>
      <c r="B150" s="1" t="s">
        <v>511</v>
      </c>
      <c r="C150" s="1" t="s">
        <v>492</v>
      </c>
      <c r="D150" s="1" t="s">
        <v>493</v>
      </c>
      <c r="E150" s="2" t="s">
        <v>2052</v>
      </c>
      <c r="F150" s="2" t="s">
        <v>1994</v>
      </c>
      <c r="G150" s="6">
        <v>140</v>
      </c>
      <c r="H150" s="8">
        <f t="shared" si="6"/>
        <v>120.68965517241381</v>
      </c>
      <c r="I150" s="2">
        <v>16</v>
      </c>
      <c r="J150" s="2">
        <f t="shared" si="5"/>
        <v>0.71</v>
      </c>
      <c r="K150" t="s">
        <v>512</v>
      </c>
      <c r="L150">
        <v>23</v>
      </c>
      <c r="M150">
        <v>35</v>
      </c>
      <c r="N150">
        <v>35</v>
      </c>
      <c r="O150">
        <v>0</v>
      </c>
      <c r="P150">
        <v>805</v>
      </c>
      <c r="Q150">
        <v>23</v>
      </c>
      <c r="R150">
        <v>805</v>
      </c>
      <c r="S150" t="s">
        <v>24</v>
      </c>
      <c r="T150" t="s">
        <v>24</v>
      </c>
      <c r="U150" t="s">
        <v>24</v>
      </c>
      <c r="V150" t="s">
        <v>25</v>
      </c>
      <c r="W150" t="s">
        <v>512</v>
      </c>
      <c r="X150" t="s">
        <v>26</v>
      </c>
      <c r="Y150" t="s">
        <v>24</v>
      </c>
    </row>
    <row r="151" spans="1:25" x14ac:dyDescent="0.35">
      <c r="A151" s="1" t="s">
        <v>513</v>
      </c>
      <c r="B151" s="1" t="s">
        <v>514</v>
      </c>
      <c r="C151" s="1" t="s">
        <v>254</v>
      </c>
      <c r="D151" s="1" t="s">
        <v>255</v>
      </c>
      <c r="E151" s="2" t="s">
        <v>2053</v>
      </c>
      <c r="F151" s="2" t="s">
        <v>1994</v>
      </c>
      <c r="G151" s="6">
        <v>980</v>
      </c>
      <c r="H151" s="8">
        <f t="shared" si="6"/>
        <v>844.82758620689663</v>
      </c>
      <c r="I151" s="2">
        <v>16</v>
      </c>
      <c r="J151" s="2">
        <f t="shared" si="5"/>
        <v>0.77102665306122453</v>
      </c>
      <c r="K151" t="s">
        <v>515</v>
      </c>
      <c r="L151">
        <v>5</v>
      </c>
      <c r="M151">
        <v>193.44300000000001</v>
      </c>
      <c r="N151">
        <v>193.44300000000001</v>
      </c>
      <c r="O151">
        <v>0</v>
      </c>
      <c r="P151">
        <v>967.21500000000003</v>
      </c>
      <c r="Q151">
        <v>5</v>
      </c>
      <c r="R151">
        <v>967.22</v>
      </c>
      <c r="S151" t="s">
        <v>24</v>
      </c>
      <c r="T151" t="s">
        <v>24</v>
      </c>
      <c r="U151" t="s">
        <v>24</v>
      </c>
      <c r="V151" t="s">
        <v>25</v>
      </c>
      <c r="W151" t="s">
        <v>515</v>
      </c>
      <c r="X151" t="s">
        <v>26</v>
      </c>
      <c r="Y151" t="s">
        <v>24</v>
      </c>
    </row>
    <row r="152" spans="1:25" x14ac:dyDescent="0.35">
      <c r="A152" s="1" t="s">
        <v>516</v>
      </c>
      <c r="B152" s="1" t="s">
        <v>517</v>
      </c>
      <c r="C152" s="1" t="s">
        <v>282</v>
      </c>
      <c r="D152" s="1" t="s">
        <v>283</v>
      </c>
      <c r="E152" s="2" t="s">
        <v>2054</v>
      </c>
      <c r="F152" s="2" t="s">
        <v>1994</v>
      </c>
      <c r="G152" s="6">
        <v>240</v>
      </c>
      <c r="H152" s="8">
        <f t="shared" si="6"/>
        <v>206.89655172413794</v>
      </c>
      <c r="I152" s="2">
        <v>16</v>
      </c>
      <c r="J152" s="2">
        <f t="shared" si="5"/>
        <v>0.73416666666666663</v>
      </c>
      <c r="K152" t="s">
        <v>518</v>
      </c>
      <c r="L152">
        <v>2</v>
      </c>
      <c r="M152">
        <v>55</v>
      </c>
      <c r="N152">
        <v>55</v>
      </c>
      <c r="O152">
        <v>0</v>
      </c>
      <c r="P152">
        <v>110</v>
      </c>
      <c r="Q152">
        <v>2</v>
      </c>
      <c r="R152">
        <v>110</v>
      </c>
      <c r="S152" t="s">
        <v>24</v>
      </c>
      <c r="T152" t="s">
        <v>24</v>
      </c>
      <c r="U152" t="s">
        <v>24</v>
      </c>
      <c r="V152" t="s">
        <v>25</v>
      </c>
      <c r="W152" t="s">
        <v>518</v>
      </c>
      <c r="X152" t="s">
        <v>26</v>
      </c>
      <c r="Y152" t="s">
        <v>24</v>
      </c>
    </row>
    <row r="153" spans="1:25" x14ac:dyDescent="0.35">
      <c r="A153" s="1" t="s">
        <v>519</v>
      </c>
      <c r="B153" s="1" t="s">
        <v>520</v>
      </c>
      <c r="C153" s="1" t="s">
        <v>282</v>
      </c>
      <c r="D153" s="1" t="s">
        <v>283</v>
      </c>
      <c r="E153" s="2" t="s">
        <v>2055</v>
      </c>
      <c r="F153" s="2" t="s">
        <v>1994</v>
      </c>
      <c r="G153" s="6">
        <v>440</v>
      </c>
      <c r="H153" s="8">
        <f t="shared" si="6"/>
        <v>379.31034482758622</v>
      </c>
      <c r="I153" s="2">
        <v>16</v>
      </c>
      <c r="J153" s="2">
        <f t="shared" si="5"/>
        <v>0.77854545454545454</v>
      </c>
      <c r="K153" t="s">
        <v>521</v>
      </c>
      <c r="L153">
        <v>1</v>
      </c>
      <c r="M153">
        <v>84</v>
      </c>
      <c r="N153">
        <v>84</v>
      </c>
      <c r="O153">
        <v>0</v>
      </c>
      <c r="P153">
        <v>84</v>
      </c>
      <c r="Q153">
        <v>1</v>
      </c>
      <c r="R153">
        <v>84</v>
      </c>
      <c r="S153" t="s">
        <v>24</v>
      </c>
      <c r="T153" t="s">
        <v>24</v>
      </c>
      <c r="U153" t="s">
        <v>24</v>
      </c>
      <c r="V153" t="s">
        <v>25</v>
      </c>
      <c r="W153" t="s">
        <v>521</v>
      </c>
      <c r="X153" t="s">
        <v>26</v>
      </c>
      <c r="Y153" t="s">
        <v>24</v>
      </c>
    </row>
    <row r="154" spans="1:25" x14ac:dyDescent="0.35">
      <c r="A154" s="1" t="s">
        <v>522</v>
      </c>
      <c r="B154" s="1" t="s">
        <v>523</v>
      </c>
      <c r="C154" s="1" t="s">
        <v>282</v>
      </c>
      <c r="D154" s="1" t="s">
        <v>283</v>
      </c>
      <c r="E154" s="2" t="s">
        <v>2056</v>
      </c>
      <c r="F154" s="2" t="s">
        <v>1994</v>
      </c>
      <c r="G154" s="6">
        <v>380</v>
      </c>
      <c r="H154" s="8">
        <f t="shared" si="6"/>
        <v>327.58620689655174</v>
      </c>
      <c r="I154" s="2">
        <v>16</v>
      </c>
      <c r="J154" s="2">
        <f t="shared" si="5"/>
        <v>0.73442105263157897</v>
      </c>
      <c r="K154" t="s">
        <v>524</v>
      </c>
      <c r="L154">
        <v>5</v>
      </c>
      <c r="M154">
        <v>87</v>
      </c>
      <c r="N154">
        <v>87</v>
      </c>
      <c r="O154">
        <v>0</v>
      </c>
      <c r="P154">
        <v>435</v>
      </c>
      <c r="Q154">
        <v>5</v>
      </c>
      <c r="R154">
        <v>435</v>
      </c>
      <c r="S154" t="s">
        <v>24</v>
      </c>
      <c r="T154" t="s">
        <v>24</v>
      </c>
      <c r="U154" t="s">
        <v>24</v>
      </c>
      <c r="V154" t="s">
        <v>25</v>
      </c>
      <c r="W154" t="s">
        <v>524</v>
      </c>
      <c r="X154" t="s">
        <v>26</v>
      </c>
      <c r="Y154" t="s">
        <v>24</v>
      </c>
    </row>
    <row r="155" spans="1:25" x14ac:dyDescent="0.35">
      <c r="A155" s="1" t="s">
        <v>525</v>
      </c>
      <c r="B155" s="1" t="s">
        <v>526</v>
      </c>
      <c r="C155" s="1" t="s">
        <v>295</v>
      </c>
      <c r="D155" s="1" t="s">
        <v>296</v>
      </c>
      <c r="E155" s="2" t="s">
        <v>2057</v>
      </c>
      <c r="F155" s="2" t="s">
        <v>1994</v>
      </c>
      <c r="G155" s="6">
        <v>200</v>
      </c>
      <c r="H155" s="8">
        <f t="shared" si="6"/>
        <v>172.41379310344828</v>
      </c>
      <c r="I155" s="2">
        <v>16</v>
      </c>
      <c r="J155" s="2">
        <f t="shared" si="5"/>
        <v>0.6694</v>
      </c>
      <c r="K155" t="s">
        <v>527</v>
      </c>
      <c r="L155">
        <v>13</v>
      </c>
      <c r="M155">
        <v>57</v>
      </c>
      <c r="N155">
        <v>57</v>
      </c>
      <c r="O155">
        <v>0</v>
      </c>
      <c r="P155">
        <v>741</v>
      </c>
      <c r="Q155">
        <v>13</v>
      </c>
      <c r="R155">
        <v>741</v>
      </c>
      <c r="S155" t="s">
        <v>24</v>
      </c>
      <c r="T155" t="s">
        <v>24</v>
      </c>
      <c r="U155" t="s">
        <v>24</v>
      </c>
      <c r="V155" t="s">
        <v>25</v>
      </c>
      <c r="W155" t="s">
        <v>527</v>
      </c>
      <c r="X155" t="s">
        <v>26</v>
      </c>
      <c r="Y155" t="s">
        <v>24</v>
      </c>
    </row>
    <row r="156" spans="1:25" x14ac:dyDescent="0.35">
      <c r="A156" s="1" t="s">
        <v>519</v>
      </c>
      <c r="B156" s="1" t="s">
        <v>520</v>
      </c>
      <c r="C156" s="1" t="s">
        <v>445</v>
      </c>
      <c r="D156" s="1" t="s">
        <v>446</v>
      </c>
      <c r="E156" s="2" t="s">
        <v>2055</v>
      </c>
      <c r="F156" s="2" t="s">
        <v>1994</v>
      </c>
      <c r="G156" s="6">
        <v>440</v>
      </c>
      <c r="H156" s="8">
        <f t="shared" si="6"/>
        <v>379.31034482758622</v>
      </c>
      <c r="I156" s="2">
        <v>16</v>
      </c>
      <c r="J156" s="2">
        <f t="shared" si="5"/>
        <v>0.77854545454545454</v>
      </c>
      <c r="K156" t="s">
        <v>528</v>
      </c>
      <c r="L156">
        <v>2</v>
      </c>
      <c r="M156">
        <v>84</v>
      </c>
      <c r="N156">
        <v>84</v>
      </c>
      <c r="O156">
        <v>0</v>
      </c>
      <c r="P156">
        <v>168</v>
      </c>
      <c r="Q156">
        <v>2</v>
      </c>
      <c r="R156">
        <v>168</v>
      </c>
      <c r="S156" t="s">
        <v>24</v>
      </c>
      <c r="T156" t="s">
        <v>24</v>
      </c>
      <c r="U156" t="s">
        <v>24</v>
      </c>
      <c r="V156" t="s">
        <v>25</v>
      </c>
      <c r="W156" t="s">
        <v>528</v>
      </c>
      <c r="X156" t="s">
        <v>26</v>
      </c>
      <c r="Y156" t="s">
        <v>24</v>
      </c>
    </row>
    <row r="157" spans="1:25" x14ac:dyDescent="0.35">
      <c r="A157" s="1" t="s">
        <v>529</v>
      </c>
      <c r="B157" s="1" t="s">
        <v>530</v>
      </c>
      <c r="C157" s="1" t="s">
        <v>453</v>
      </c>
      <c r="D157" s="1" t="s">
        <v>454</v>
      </c>
      <c r="E157" s="2" t="s">
        <v>2058</v>
      </c>
      <c r="F157" s="2" t="s">
        <v>1994</v>
      </c>
      <c r="G157" s="6">
        <v>580</v>
      </c>
      <c r="H157" s="8">
        <f t="shared" si="6"/>
        <v>500.00000000000006</v>
      </c>
      <c r="I157" s="2">
        <v>16</v>
      </c>
      <c r="J157" s="2">
        <f t="shared" si="5"/>
        <v>0.73</v>
      </c>
      <c r="K157" t="s">
        <v>531</v>
      </c>
      <c r="L157">
        <v>2</v>
      </c>
      <c r="M157">
        <v>135</v>
      </c>
      <c r="N157">
        <v>135</v>
      </c>
      <c r="O157">
        <v>0</v>
      </c>
      <c r="P157">
        <v>270</v>
      </c>
      <c r="Q157">
        <v>2</v>
      </c>
      <c r="R157">
        <v>270</v>
      </c>
      <c r="S157" t="s">
        <v>24</v>
      </c>
      <c r="T157" t="s">
        <v>24</v>
      </c>
      <c r="U157" t="s">
        <v>24</v>
      </c>
      <c r="V157" t="s">
        <v>25</v>
      </c>
      <c r="W157" t="s">
        <v>531</v>
      </c>
      <c r="X157" t="s">
        <v>26</v>
      </c>
      <c r="Y157" t="s">
        <v>24</v>
      </c>
    </row>
    <row r="158" spans="1:25" x14ac:dyDescent="0.35">
      <c r="A158" s="1" t="s">
        <v>532</v>
      </c>
      <c r="B158" s="1" t="s">
        <v>533</v>
      </c>
      <c r="C158" s="1" t="s">
        <v>387</v>
      </c>
      <c r="D158" s="1" t="s">
        <v>388</v>
      </c>
      <c r="E158" s="2" t="s">
        <v>2059</v>
      </c>
      <c r="F158" s="2" t="s">
        <v>1994</v>
      </c>
      <c r="G158" s="6">
        <v>640</v>
      </c>
      <c r="H158" s="8">
        <f t="shared" si="6"/>
        <v>551.72413793103453</v>
      </c>
      <c r="I158" s="2">
        <v>16</v>
      </c>
      <c r="J158" s="2">
        <f t="shared" si="5"/>
        <v>0.76075000000000004</v>
      </c>
      <c r="K158" t="s">
        <v>534</v>
      </c>
      <c r="L158">
        <v>2</v>
      </c>
      <c r="M158">
        <v>132</v>
      </c>
      <c r="N158">
        <v>132</v>
      </c>
      <c r="O158">
        <v>0</v>
      </c>
      <c r="P158">
        <v>264</v>
      </c>
      <c r="Q158">
        <v>2</v>
      </c>
      <c r="R158">
        <v>264</v>
      </c>
      <c r="S158" t="s">
        <v>24</v>
      </c>
      <c r="T158" t="s">
        <v>24</v>
      </c>
      <c r="U158" t="s">
        <v>24</v>
      </c>
      <c r="V158" t="s">
        <v>25</v>
      </c>
      <c r="W158" t="s">
        <v>534</v>
      </c>
      <c r="X158" t="s">
        <v>26</v>
      </c>
      <c r="Y158" t="s">
        <v>24</v>
      </c>
    </row>
    <row r="159" spans="1:25" x14ac:dyDescent="0.35">
      <c r="A159" s="1" t="s">
        <v>535</v>
      </c>
      <c r="B159" s="1" t="s">
        <v>536</v>
      </c>
      <c r="C159" s="1" t="s">
        <v>537</v>
      </c>
      <c r="D159" s="1" t="s">
        <v>538</v>
      </c>
      <c r="E159" s="2" t="s">
        <v>2060</v>
      </c>
      <c r="F159" s="2" t="s">
        <v>2061</v>
      </c>
      <c r="G159" s="6">
        <v>100</v>
      </c>
      <c r="H159" s="8">
        <f t="shared" si="6"/>
        <v>86.206896551724142</v>
      </c>
      <c r="I159" s="2">
        <v>16</v>
      </c>
      <c r="J159" s="2">
        <f t="shared" si="5"/>
        <v>0.69004799999999999</v>
      </c>
      <c r="K159" t="s">
        <v>539</v>
      </c>
      <c r="L159">
        <v>2</v>
      </c>
      <c r="M159">
        <v>26.72</v>
      </c>
      <c r="N159">
        <v>26.72</v>
      </c>
      <c r="O159">
        <v>0</v>
      </c>
      <c r="P159">
        <v>53.44</v>
      </c>
      <c r="Q159">
        <v>2</v>
      </c>
      <c r="R159">
        <v>53.44</v>
      </c>
      <c r="S159" t="s">
        <v>24</v>
      </c>
      <c r="T159" t="s">
        <v>24</v>
      </c>
      <c r="U159" t="s">
        <v>24</v>
      </c>
      <c r="V159" t="s">
        <v>25</v>
      </c>
      <c r="W159" t="s">
        <v>539</v>
      </c>
      <c r="X159" t="s">
        <v>26</v>
      </c>
      <c r="Y159" t="s">
        <v>24</v>
      </c>
    </row>
    <row r="160" spans="1:25" x14ac:dyDescent="0.35">
      <c r="A160" s="1" t="s">
        <v>540</v>
      </c>
      <c r="B160" s="1" t="s">
        <v>541</v>
      </c>
      <c r="C160" s="1" t="s">
        <v>542</v>
      </c>
      <c r="D160" s="1" t="s">
        <v>543</v>
      </c>
      <c r="E160" s="2" t="s">
        <v>2062</v>
      </c>
      <c r="F160" s="2" t="s">
        <v>2061</v>
      </c>
      <c r="G160" s="6">
        <v>240</v>
      </c>
      <c r="H160" s="8">
        <f t="shared" si="6"/>
        <v>206.89655172413794</v>
      </c>
      <c r="I160" s="2">
        <v>16</v>
      </c>
      <c r="J160" s="2">
        <f t="shared" si="5"/>
        <v>0.81942666666666664</v>
      </c>
      <c r="K160" t="s">
        <v>544</v>
      </c>
      <c r="L160">
        <v>3</v>
      </c>
      <c r="M160">
        <v>37.36</v>
      </c>
      <c r="N160">
        <v>37.36</v>
      </c>
      <c r="O160">
        <v>0</v>
      </c>
      <c r="P160">
        <v>112.08</v>
      </c>
      <c r="Q160">
        <v>3</v>
      </c>
      <c r="R160">
        <v>112.08</v>
      </c>
      <c r="S160" t="s">
        <v>24</v>
      </c>
      <c r="T160" t="s">
        <v>24</v>
      </c>
      <c r="U160" t="s">
        <v>24</v>
      </c>
      <c r="V160" t="s">
        <v>25</v>
      </c>
      <c r="W160" t="s">
        <v>544</v>
      </c>
      <c r="X160" t="s">
        <v>26</v>
      </c>
      <c r="Y160" t="s">
        <v>24</v>
      </c>
    </row>
    <row r="161" spans="1:25" x14ac:dyDescent="0.35">
      <c r="A161" s="1" t="s">
        <v>545</v>
      </c>
      <c r="B161" s="1" t="s">
        <v>546</v>
      </c>
      <c r="C161" s="1" t="s">
        <v>537</v>
      </c>
      <c r="D161" s="1" t="s">
        <v>538</v>
      </c>
      <c r="E161" s="2" t="s">
        <v>2063</v>
      </c>
      <c r="F161" s="2" t="s">
        <v>2061</v>
      </c>
      <c r="G161" s="6">
        <v>60</v>
      </c>
      <c r="H161" s="8">
        <f t="shared" si="6"/>
        <v>51.724137931034484</v>
      </c>
      <c r="I161" s="2">
        <v>16</v>
      </c>
      <c r="J161" s="2">
        <f t="shared" si="5"/>
        <v>0.75391759999999997</v>
      </c>
      <c r="K161" t="s">
        <v>547</v>
      </c>
      <c r="L161">
        <v>2</v>
      </c>
      <c r="M161">
        <v>12.728400000000001</v>
      </c>
      <c r="N161">
        <v>12.728400000000001</v>
      </c>
      <c r="O161">
        <v>0</v>
      </c>
      <c r="P161">
        <v>25.456800000000001</v>
      </c>
      <c r="Q161">
        <v>2</v>
      </c>
      <c r="R161">
        <v>25.46</v>
      </c>
      <c r="S161" t="s">
        <v>24</v>
      </c>
      <c r="T161" t="s">
        <v>24</v>
      </c>
      <c r="U161" t="s">
        <v>24</v>
      </c>
      <c r="V161" t="s">
        <v>25</v>
      </c>
      <c r="W161" t="s">
        <v>547</v>
      </c>
      <c r="X161" t="s">
        <v>26</v>
      </c>
      <c r="Y161" t="s">
        <v>24</v>
      </c>
    </row>
    <row r="162" spans="1:25" x14ac:dyDescent="0.35">
      <c r="A162" s="1" t="s">
        <v>548</v>
      </c>
      <c r="B162" s="1" t="s">
        <v>549</v>
      </c>
      <c r="C162" s="1" t="s">
        <v>537</v>
      </c>
      <c r="D162" s="1" t="s">
        <v>538</v>
      </c>
      <c r="E162" s="2" t="s">
        <v>2064</v>
      </c>
      <c r="F162" s="2" t="s">
        <v>2061</v>
      </c>
      <c r="G162" s="6">
        <v>200</v>
      </c>
      <c r="H162" s="8">
        <f t="shared" si="6"/>
        <v>172.41379310344828</v>
      </c>
      <c r="I162" s="2">
        <v>16</v>
      </c>
      <c r="J162" s="2">
        <f t="shared" si="5"/>
        <v>0.89602514</v>
      </c>
      <c r="K162" t="s">
        <v>550</v>
      </c>
      <c r="L162">
        <v>2</v>
      </c>
      <c r="M162">
        <v>17.9267</v>
      </c>
      <c r="N162">
        <v>17.9267</v>
      </c>
      <c r="O162">
        <v>0</v>
      </c>
      <c r="P162">
        <v>35.853400000000001</v>
      </c>
      <c r="Q162">
        <v>2</v>
      </c>
      <c r="R162">
        <v>35.85</v>
      </c>
      <c r="S162" t="s">
        <v>24</v>
      </c>
      <c r="T162" t="s">
        <v>24</v>
      </c>
      <c r="U162" t="s">
        <v>24</v>
      </c>
      <c r="V162" t="s">
        <v>25</v>
      </c>
      <c r="W162" t="s">
        <v>550</v>
      </c>
      <c r="X162" t="s">
        <v>26</v>
      </c>
      <c r="Y162" t="s">
        <v>24</v>
      </c>
    </row>
    <row r="163" spans="1:25" x14ac:dyDescent="0.35">
      <c r="A163" s="1" t="s">
        <v>551</v>
      </c>
      <c r="B163" s="1" t="s">
        <v>552</v>
      </c>
      <c r="C163" s="1" t="s">
        <v>553</v>
      </c>
      <c r="D163" s="1" t="s">
        <v>554</v>
      </c>
      <c r="E163" s="2" t="s">
        <v>2065</v>
      </c>
      <c r="F163" s="2" t="s">
        <v>2061</v>
      </c>
      <c r="G163" s="6">
        <v>80</v>
      </c>
      <c r="H163" s="8">
        <f t="shared" si="6"/>
        <v>68.965517241379317</v>
      </c>
      <c r="I163" s="2">
        <v>16</v>
      </c>
      <c r="J163" s="2">
        <f t="shared" si="5"/>
        <v>0.59902860000000002</v>
      </c>
      <c r="K163" t="s">
        <v>555</v>
      </c>
      <c r="L163">
        <v>4</v>
      </c>
      <c r="M163">
        <v>27.653199999999998</v>
      </c>
      <c r="N163">
        <v>27.653199999999998</v>
      </c>
      <c r="O163">
        <v>0</v>
      </c>
      <c r="P163">
        <v>110.61279999999999</v>
      </c>
      <c r="Q163">
        <v>4</v>
      </c>
      <c r="R163">
        <v>110.61</v>
      </c>
      <c r="S163" t="s">
        <v>24</v>
      </c>
      <c r="T163" t="s">
        <v>24</v>
      </c>
      <c r="U163" t="s">
        <v>24</v>
      </c>
      <c r="V163" t="s">
        <v>25</v>
      </c>
      <c r="W163" t="s">
        <v>555</v>
      </c>
      <c r="X163" t="s">
        <v>26</v>
      </c>
      <c r="Y163" t="s">
        <v>24</v>
      </c>
    </row>
    <row r="164" spans="1:25" x14ac:dyDescent="0.35">
      <c r="A164" s="1" t="s">
        <v>556</v>
      </c>
      <c r="B164" s="1" t="s">
        <v>557</v>
      </c>
      <c r="C164" s="1" t="s">
        <v>553</v>
      </c>
      <c r="D164" s="1" t="s">
        <v>554</v>
      </c>
      <c r="E164" s="2" t="s">
        <v>2066</v>
      </c>
      <c r="F164" s="2" t="s">
        <v>2061</v>
      </c>
      <c r="G164" s="6">
        <v>60</v>
      </c>
      <c r="H164" s="8">
        <f t="shared" si="6"/>
        <v>51.724137931034484</v>
      </c>
      <c r="I164" s="2">
        <v>16</v>
      </c>
      <c r="J164" s="2">
        <f t="shared" si="5"/>
        <v>1.1254666666666635E-2</v>
      </c>
      <c r="K164" t="s">
        <v>558</v>
      </c>
      <c r="L164">
        <v>1</v>
      </c>
      <c r="M164">
        <v>51.142000000000003</v>
      </c>
      <c r="N164">
        <v>51.142000000000003</v>
      </c>
      <c r="O164">
        <v>0</v>
      </c>
      <c r="P164">
        <v>51.142000000000003</v>
      </c>
      <c r="Q164">
        <v>1</v>
      </c>
      <c r="R164">
        <v>51.14</v>
      </c>
      <c r="S164" t="s">
        <v>24</v>
      </c>
      <c r="T164" t="s">
        <v>24</v>
      </c>
      <c r="U164" t="s">
        <v>24</v>
      </c>
      <c r="V164" t="s">
        <v>25</v>
      </c>
      <c r="W164" t="s">
        <v>558</v>
      </c>
      <c r="X164" t="s">
        <v>26</v>
      </c>
      <c r="Y164" t="s">
        <v>24</v>
      </c>
    </row>
    <row r="165" spans="1:25" x14ac:dyDescent="0.35">
      <c r="A165" s="1" t="s">
        <v>559</v>
      </c>
      <c r="B165" s="1" t="s">
        <v>560</v>
      </c>
      <c r="C165" s="1" t="s">
        <v>553</v>
      </c>
      <c r="D165" s="1" t="s">
        <v>554</v>
      </c>
      <c r="E165" s="2" t="s">
        <v>2067</v>
      </c>
      <c r="F165" s="2" t="s">
        <v>2061</v>
      </c>
      <c r="G165" s="6">
        <v>100</v>
      </c>
      <c r="H165" s="8">
        <f t="shared" si="6"/>
        <v>86.206896551724142</v>
      </c>
      <c r="I165" s="2">
        <v>16</v>
      </c>
      <c r="J165" s="2">
        <f t="shared" si="5"/>
        <v>0.24762400000000007</v>
      </c>
      <c r="K165" t="s">
        <v>561</v>
      </c>
      <c r="L165">
        <v>1</v>
      </c>
      <c r="M165">
        <v>64.86</v>
      </c>
      <c r="N165">
        <v>64.86</v>
      </c>
      <c r="O165">
        <v>0</v>
      </c>
      <c r="P165">
        <v>64.86</v>
      </c>
      <c r="Q165">
        <v>1</v>
      </c>
      <c r="R165">
        <v>64.86</v>
      </c>
      <c r="S165" t="s">
        <v>24</v>
      </c>
      <c r="T165" t="s">
        <v>24</v>
      </c>
      <c r="U165" t="s">
        <v>24</v>
      </c>
      <c r="V165" t="s">
        <v>25</v>
      </c>
      <c r="W165" t="s">
        <v>561</v>
      </c>
      <c r="X165" t="s">
        <v>26</v>
      </c>
      <c r="Y165" t="s">
        <v>24</v>
      </c>
    </row>
    <row r="166" spans="1:25" x14ac:dyDescent="0.35">
      <c r="A166" s="1" t="s">
        <v>562</v>
      </c>
      <c r="B166" s="1" t="s">
        <v>563</v>
      </c>
      <c r="C166" s="1" t="s">
        <v>542</v>
      </c>
      <c r="D166" s="1" t="s">
        <v>543</v>
      </c>
      <c r="E166" s="2" t="s">
        <v>2068</v>
      </c>
      <c r="F166" s="2" t="s">
        <v>2061</v>
      </c>
      <c r="G166" s="6">
        <v>40</v>
      </c>
      <c r="H166" s="8">
        <f t="shared" si="6"/>
        <v>34.482758620689658</v>
      </c>
      <c r="I166" s="2">
        <v>16</v>
      </c>
      <c r="J166" s="2">
        <f t="shared" si="5"/>
        <v>0.713364</v>
      </c>
      <c r="K166" t="s">
        <v>564</v>
      </c>
      <c r="L166">
        <v>5</v>
      </c>
      <c r="M166">
        <v>9.8840000000000003</v>
      </c>
      <c r="N166">
        <v>9.8840000000000003</v>
      </c>
      <c r="O166">
        <v>0</v>
      </c>
      <c r="P166">
        <v>39.536000000000001</v>
      </c>
      <c r="Q166">
        <v>4</v>
      </c>
      <c r="R166">
        <v>39.54</v>
      </c>
      <c r="S166" t="s">
        <v>24</v>
      </c>
      <c r="T166" t="s">
        <v>24</v>
      </c>
      <c r="U166" t="s">
        <v>24</v>
      </c>
      <c r="V166" t="s">
        <v>25</v>
      </c>
      <c r="W166" t="s">
        <v>564</v>
      </c>
      <c r="X166" t="s">
        <v>26</v>
      </c>
      <c r="Y166" t="s">
        <v>24</v>
      </c>
    </row>
    <row r="167" spans="1:25" x14ac:dyDescent="0.35">
      <c r="A167" s="1" t="s">
        <v>565</v>
      </c>
      <c r="B167" s="1" t="s">
        <v>566</v>
      </c>
      <c r="C167" s="1" t="s">
        <v>537</v>
      </c>
      <c r="D167" s="1" t="s">
        <v>538</v>
      </c>
      <c r="E167" s="2" t="s">
        <v>2069</v>
      </c>
      <c r="F167" s="2" t="s">
        <v>2061</v>
      </c>
      <c r="G167" s="6">
        <v>460</v>
      </c>
      <c r="H167" s="8">
        <f t="shared" si="6"/>
        <v>396.55172413793105</v>
      </c>
      <c r="I167" s="2">
        <v>16</v>
      </c>
      <c r="J167" s="2">
        <f t="shared" si="5"/>
        <v>0.77603022608695649</v>
      </c>
      <c r="K167" t="s">
        <v>567</v>
      </c>
      <c r="L167">
        <v>3</v>
      </c>
      <c r="M167">
        <v>88.815600000000003</v>
      </c>
      <c r="N167">
        <v>88.815600000000003</v>
      </c>
      <c r="O167">
        <v>0</v>
      </c>
      <c r="P167">
        <v>266.4468</v>
      </c>
      <c r="Q167">
        <v>3</v>
      </c>
      <c r="R167">
        <v>266.45</v>
      </c>
      <c r="S167" t="s">
        <v>24</v>
      </c>
      <c r="T167" t="s">
        <v>24</v>
      </c>
      <c r="U167" t="s">
        <v>24</v>
      </c>
      <c r="V167" t="s">
        <v>25</v>
      </c>
      <c r="W167" t="s">
        <v>567</v>
      </c>
      <c r="X167" t="s">
        <v>26</v>
      </c>
      <c r="Y167" t="s">
        <v>24</v>
      </c>
    </row>
    <row r="168" spans="1:25" x14ac:dyDescent="0.35">
      <c r="A168" s="1" t="s">
        <v>568</v>
      </c>
      <c r="B168" s="1" t="s">
        <v>569</v>
      </c>
      <c r="C168" s="1" t="s">
        <v>537</v>
      </c>
      <c r="D168" s="1" t="s">
        <v>538</v>
      </c>
      <c r="E168" s="2" t="s">
        <v>2070</v>
      </c>
      <c r="F168" s="2" t="s">
        <v>2061</v>
      </c>
      <c r="G168" s="6">
        <v>60</v>
      </c>
      <c r="H168" s="8">
        <f t="shared" si="6"/>
        <v>51.724137931034484</v>
      </c>
      <c r="I168" s="2">
        <v>16</v>
      </c>
      <c r="J168" s="2">
        <f t="shared" si="5"/>
        <v>0.71734666666666669</v>
      </c>
      <c r="K168" t="s">
        <v>570</v>
      </c>
      <c r="L168">
        <v>2</v>
      </c>
      <c r="M168">
        <v>14.62</v>
      </c>
      <c r="N168">
        <v>14.62</v>
      </c>
      <c r="O168">
        <v>0</v>
      </c>
      <c r="P168">
        <v>29.24</v>
      </c>
      <c r="Q168">
        <v>2</v>
      </c>
      <c r="R168">
        <v>29.24</v>
      </c>
      <c r="S168" t="s">
        <v>24</v>
      </c>
      <c r="T168" t="s">
        <v>24</v>
      </c>
      <c r="U168" t="s">
        <v>24</v>
      </c>
      <c r="V168" t="s">
        <v>25</v>
      </c>
      <c r="W168" t="s">
        <v>570</v>
      </c>
      <c r="X168" t="s">
        <v>26</v>
      </c>
      <c r="Y168" t="s">
        <v>24</v>
      </c>
    </row>
    <row r="169" spans="1:25" x14ac:dyDescent="0.35">
      <c r="A169" s="1" t="s">
        <v>571</v>
      </c>
      <c r="B169" s="1" t="s">
        <v>572</v>
      </c>
      <c r="C169" s="1" t="s">
        <v>553</v>
      </c>
      <c r="D169" s="1" t="s">
        <v>554</v>
      </c>
      <c r="E169" s="2" t="s">
        <v>2071</v>
      </c>
      <c r="F169" s="2" t="s">
        <v>2061</v>
      </c>
      <c r="G169" s="6">
        <v>140</v>
      </c>
      <c r="H169" s="8">
        <f t="shared" si="6"/>
        <v>120.68965517241381</v>
      </c>
      <c r="I169" s="2">
        <v>16</v>
      </c>
      <c r="J169" s="2">
        <f t="shared" si="5"/>
        <v>0.76087428571428573</v>
      </c>
      <c r="K169" t="s">
        <v>573</v>
      </c>
      <c r="L169">
        <v>4</v>
      </c>
      <c r="M169">
        <v>28.86</v>
      </c>
      <c r="N169">
        <v>28.86</v>
      </c>
      <c r="O169">
        <v>0</v>
      </c>
      <c r="P169">
        <v>115.44</v>
      </c>
      <c r="Q169">
        <v>4</v>
      </c>
      <c r="R169">
        <v>115.44</v>
      </c>
      <c r="S169" t="s">
        <v>24</v>
      </c>
      <c r="T169" t="s">
        <v>24</v>
      </c>
      <c r="U169" t="s">
        <v>24</v>
      </c>
      <c r="V169" t="s">
        <v>25</v>
      </c>
      <c r="W169" t="s">
        <v>573</v>
      </c>
      <c r="X169" t="s">
        <v>26</v>
      </c>
      <c r="Y169" t="s">
        <v>24</v>
      </c>
    </row>
    <row r="170" spans="1:25" x14ac:dyDescent="0.35">
      <c r="A170" s="1" t="s">
        <v>574</v>
      </c>
      <c r="B170" s="1" t="s">
        <v>575</v>
      </c>
      <c r="C170" s="1" t="s">
        <v>542</v>
      </c>
      <c r="D170" s="1" t="s">
        <v>543</v>
      </c>
      <c r="E170" s="2" t="s">
        <v>2072</v>
      </c>
      <c r="F170" s="2" t="s">
        <v>2061</v>
      </c>
      <c r="G170" s="6">
        <v>440</v>
      </c>
      <c r="H170" s="8">
        <f t="shared" si="6"/>
        <v>379.31034482758622</v>
      </c>
      <c r="I170" s="2">
        <v>16</v>
      </c>
      <c r="J170" s="2">
        <f t="shared" si="5"/>
        <v>0.82494545454545454</v>
      </c>
      <c r="K170" t="s">
        <v>576</v>
      </c>
      <c r="L170">
        <v>2</v>
      </c>
      <c r="M170">
        <v>66.400000000000006</v>
      </c>
      <c r="N170">
        <v>66.400000000000006</v>
      </c>
      <c r="O170">
        <v>0</v>
      </c>
      <c r="P170">
        <v>132.80000000000001</v>
      </c>
      <c r="Q170">
        <v>2</v>
      </c>
      <c r="R170">
        <v>132.80000000000001</v>
      </c>
      <c r="S170" t="s">
        <v>24</v>
      </c>
      <c r="T170" t="s">
        <v>24</v>
      </c>
      <c r="U170" t="s">
        <v>24</v>
      </c>
      <c r="V170" t="s">
        <v>25</v>
      </c>
      <c r="W170" t="s">
        <v>576</v>
      </c>
      <c r="X170" t="s">
        <v>26</v>
      </c>
      <c r="Y170" t="s">
        <v>24</v>
      </c>
    </row>
    <row r="171" spans="1:25" x14ac:dyDescent="0.35">
      <c r="A171" s="1" t="s">
        <v>577</v>
      </c>
      <c r="B171" s="1" t="s">
        <v>578</v>
      </c>
      <c r="C171" s="1" t="s">
        <v>537</v>
      </c>
      <c r="D171" s="1" t="s">
        <v>538</v>
      </c>
      <c r="E171" s="2" t="s">
        <v>2073</v>
      </c>
      <c r="F171" s="2" t="s">
        <v>2061</v>
      </c>
      <c r="G171" s="6">
        <v>112</v>
      </c>
      <c r="H171" s="8">
        <f t="shared" si="6"/>
        <v>96.551724137931046</v>
      </c>
      <c r="I171" s="2">
        <v>16</v>
      </c>
      <c r="J171" s="2">
        <f t="shared" si="5"/>
        <v>0.72380089285714289</v>
      </c>
      <c r="K171" t="s">
        <v>579</v>
      </c>
      <c r="L171">
        <v>1</v>
      </c>
      <c r="M171">
        <v>26.6675</v>
      </c>
      <c r="N171">
        <v>26.6675</v>
      </c>
      <c r="O171">
        <v>0</v>
      </c>
      <c r="P171">
        <v>26.6675</v>
      </c>
      <c r="Q171">
        <v>1</v>
      </c>
      <c r="R171">
        <v>26.67</v>
      </c>
      <c r="S171" t="s">
        <v>24</v>
      </c>
      <c r="T171" t="s">
        <v>24</v>
      </c>
      <c r="U171" t="s">
        <v>24</v>
      </c>
      <c r="V171" t="s">
        <v>25</v>
      </c>
      <c r="W171" t="s">
        <v>579</v>
      </c>
      <c r="X171" t="s">
        <v>26</v>
      </c>
      <c r="Y171" t="s">
        <v>24</v>
      </c>
    </row>
    <row r="172" spans="1:25" x14ac:dyDescent="0.35">
      <c r="A172" s="1" t="s">
        <v>580</v>
      </c>
      <c r="B172" s="1" t="s">
        <v>581</v>
      </c>
      <c r="C172" s="1" t="s">
        <v>239</v>
      </c>
      <c r="D172" s="1" t="s">
        <v>240</v>
      </c>
      <c r="E172" s="2" t="s">
        <v>2074</v>
      </c>
      <c r="F172" s="2" t="s">
        <v>2061</v>
      </c>
      <c r="G172" s="6">
        <v>320</v>
      </c>
      <c r="H172" s="8">
        <f t="shared" si="6"/>
        <v>275.86206896551727</v>
      </c>
      <c r="I172" s="2">
        <v>16</v>
      </c>
      <c r="J172" s="2">
        <f t="shared" si="5"/>
        <v>0.59160750000000006</v>
      </c>
      <c r="K172" t="s">
        <v>582</v>
      </c>
      <c r="L172">
        <v>1</v>
      </c>
      <c r="M172">
        <v>112.66</v>
      </c>
      <c r="N172">
        <v>112.66</v>
      </c>
      <c r="O172">
        <v>0</v>
      </c>
      <c r="P172">
        <v>112.66</v>
      </c>
      <c r="Q172">
        <v>1</v>
      </c>
      <c r="R172">
        <v>112.66</v>
      </c>
      <c r="S172" t="s">
        <v>24</v>
      </c>
      <c r="T172" t="s">
        <v>24</v>
      </c>
      <c r="U172" t="s">
        <v>24</v>
      </c>
      <c r="V172" t="s">
        <v>25</v>
      </c>
      <c r="W172" t="s">
        <v>582</v>
      </c>
      <c r="X172" t="s">
        <v>26</v>
      </c>
      <c r="Y172" t="s">
        <v>24</v>
      </c>
    </row>
    <row r="173" spans="1:25" x14ac:dyDescent="0.35">
      <c r="A173" s="1" t="s">
        <v>470</v>
      </c>
      <c r="B173" s="1" t="s">
        <v>471</v>
      </c>
      <c r="C173" s="1" t="s">
        <v>387</v>
      </c>
      <c r="D173" s="1" t="s">
        <v>388</v>
      </c>
      <c r="E173" s="2" t="s">
        <v>2040</v>
      </c>
      <c r="F173" s="2" t="s">
        <v>1994</v>
      </c>
      <c r="G173" s="6">
        <v>300</v>
      </c>
      <c r="H173" s="8">
        <f t="shared" si="6"/>
        <v>258.62068965517244</v>
      </c>
      <c r="I173" s="2">
        <v>16</v>
      </c>
      <c r="J173" s="2">
        <f t="shared" si="5"/>
        <v>0.7718666666666667</v>
      </c>
      <c r="K173" t="s">
        <v>583</v>
      </c>
      <c r="L173">
        <v>2</v>
      </c>
      <c r="M173">
        <v>59</v>
      </c>
      <c r="N173">
        <v>59</v>
      </c>
      <c r="O173">
        <v>0</v>
      </c>
      <c r="P173">
        <v>118</v>
      </c>
      <c r="Q173">
        <v>2</v>
      </c>
      <c r="R173">
        <v>118</v>
      </c>
      <c r="S173" t="s">
        <v>24</v>
      </c>
      <c r="T173" t="s">
        <v>24</v>
      </c>
      <c r="U173" t="s">
        <v>24</v>
      </c>
      <c r="V173" t="s">
        <v>25</v>
      </c>
      <c r="W173" t="s">
        <v>583</v>
      </c>
      <c r="X173" t="s">
        <v>26</v>
      </c>
      <c r="Y173" t="s">
        <v>24</v>
      </c>
    </row>
    <row r="174" spans="1:25" x14ac:dyDescent="0.35">
      <c r="A174" s="1" t="s">
        <v>584</v>
      </c>
      <c r="B174" s="1" t="s">
        <v>585</v>
      </c>
      <c r="C174" s="1" t="s">
        <v>586</v>
      </c>
      <c r="D174" s="1" t="s">
        <v>587</v>
      </c>
      <c r="E174" s="2" t="s">
        <v>2075</v>
      </c>
      <c r="F174" s="2" t="s">
        <v>1994</v>
      </c>
      <c r="G174" s="6">
        <v>3000</v>
      </c>
      <c r="H174" s="8">
        <f t="shared" si="6"/>
        <v>2586.2068965517242</v>
      </c>
      <c r="I174" s="2">
        <v>16</v>
      </c>
      <c r="J174" s="2">
        <f t="shared" si="5"/>
        <v>0.65973333333333328</v>
      </c>
      <c r="K174" t="s">
        <v>588</v>
      </c>
      <c r="L174">
        <v>1</v>
      </c>
      <c r="M174">
        <v>880</v>
      </c>
      <c r="N174">
        <v>880</v>
      </c>
      <c r="O174">
        <v>0</v>
      </c>
      <c r="P174">
        <v>880</v>
      </c>
      <c r="Q174">
        <v>1</v>
      </c>
      <c r="R174">
        <v>880</v>
      </c>
      <c r="S174" t="s">
        <v>24</v>
      </c>
      <c r="T174" t="s">
        <v>24</v>
      </c>
      <c r="U174" t="s">
        <v>24</v>
      </c>
      <c r="V174" t="s">
        <v>25</v>
      </c>
      <c r="W174" t="s">
        <v>588</v>
      </c>
      <c r="X174" t="s">
        <v>26</v>
      </c>
      <c r="Y174" t="s">
        <v>24</v>
      </c>
    </row>
    <row r="175" spans="1:25" x14ac:dyDescent="0.35">
      <c r="A175" s="1" t="s">
        <v>589</v>
      </c>
      <c r="B175" s="1" t="s">
        <v>590</v>
      </c>
      <c r="C175" s="1" t="s">
        <v>249</v>
      </c>
      <c r="D175" s="1" t="s">
        <v>250</v>
      </c>
      <c r="E175" s="2" t="s">
        <v>2076</v>
      </c>
      <c r="F175" s="2" t="s">
        <v>1994</v>
      </c>
      <c r="G175" s="6">
        <v>440</v>
      </c>
      <c r="H175" s="8">
        <f t="shared" si="6"/>
        <v>379.31034482758622</v>
      </c>
      <c r="I175" s="2">
        <v>16</v>
      </c>
      <c r="J175" s="2">
        <f t="shared" si="5"/>
        <v>0.79885520909090912</v>
      </c>
      <c r="K175" t="s">
        <v>591</v>
      </c>
      <c r="L175">
        <v>2</v>
      </c>
      <c r="M175">
        <v>76.296300000000002</v>
      </c>
      <c r="N175">
        <v>76.296300000000002</v>
      </c>
      <c r="O175">
        <v>0</v>
      </c>
      <c r="P175">
        <v>152.5926</v>
      </c>
      <c r="Q175">
        <v>2</v>
      </c>
      <c r="R175">
        <v>152.59</v>
      </c>
      <c r="S175" t="s">
        <v>24</v>
      </c>
      <c r="T175" t="s">
        <v>24</v>
      </c>
      <c r="U175" t="s">
        <v>24</v>
      </c>
      <c r="V175" t="s">
        <v>25</v>
      </c>
      <c r="W175" t="s">
        <v>591</v>
      </c>
      <c r="X175" t="s">
        <v>26</v>
      </c>
      <c r="Y175" t="s">
        <v>24</v>
      </c>
    </row>
    <row r="176" spans="1:25" x14ac:dyDescent="0.35">
      <c r="A176" s="1" t="s">
        <v>516</v>
      </c>
      <c r="B176" s="1" t="s">
        <v>517</v>
      </c>
      <c r="C176" s="1" t="s">
        <v>387</v>
      </c>
      <c r="D176" s="1" t="s">
        <v>388</v>
      </c>
      <c r="E176" s="2" t="s">
        <v>2054</v>
      </c>
      <c r="F176" s="2" t="s">
        <v>1994</v>
      </c>
      <c r="G176" s="6">
        <v>240</v>
      </c>
      <c r="H176" s="8">
        <f t="shared" si="6"/>
        <v>206.89655172413794</v>
      </c>
      <c r="I176" s="2">
        <v>16</v>
      </c>
      <c r="J176" s="2">
        <f t="shared" si="5"/>
        <v>0.73416666666666663</v>
      </c>
      <c r="K176" t="s">
        <v>592</v>
      </c>
      <c r="L176">
        <v>3</v>
      </c>
      <c r="M176">
        <v>55</v>
      </c>
      <c r="N176">
        <v>55</v>
      </c>
      <c r="O176">
        <v>0</v>
      </c>
      <c r="P176">
        <v>165</v>
      </c>
      <c r="Q176">
        <v>3</v>
      </c>
      <c r="R176">
        <v>165</v>
      </c>
      <c r="S176" t="s">
        <v>24</v>
      </c>
      <c r="T176" t="s">
        <v>24</v>
      </c>
      <c r="U176" t="s">
        <v>24</v>
      </c>
      <c r="V176" t="s">
        <v>25</v>
      </c>
      <c r="W176" t="s">
        <v>592</v>
      </c>
      <c r="X176" t="s">
        <v>26</v>
      </c>
      <c r="Y176" t="s">
        <v>24</v>
      </c>
    </row>
    <row r="177" spans="1:25" x14ac:dyDescent="0.35">
      <c r="A177" s="1" t="s">
        <v>487</v>
      </c>
      <c r="B177" s="1" t="s">
        <v>488</v>
      </c>
      <c r="C177" s="1" t="s">
        <v>282</v>
      </c>
      <c r="D177" s="1" t="s">
        <v>283</v>
      </c>
      <c r="E177" s="2" t="s">
        <v>2045</v>
      </c>
      <c r="F177" s="2" t="s">
        <v>1994</v>
      </c>
      <c r="G177" s="6">
        <v>240</v>
      </c>
      <c r="H177" s="8">
        <f t="shared" si="6"/>
        <v>206.89655172413794</v>
      </c>
      <c r="I177" s="2">
        <v>16</v>
      </c>
      <c r="J177" s="2">
        <f t="shared" si="5"/>
        <v>0.73416666666666663</v>
      </c>
      <c r="K177" t="s">
        <v>593</v>
      </c>
      <c r="L177">
        <v>3</v>
      </c>
      <c r="M177">
        <v>55</v>
      </c>
      <c r="N177">
        <v>55</v>
      </c>
      <c r="O177">
        <v>0</v>
      </c>
      <c r="P177">
        <v>165</v>
      </c>
      <c r="Q177">
        <v>3</v>
      </c>
      <c r="R177">
        <v>165</v>
      </c>
      <c r="S177" t="s">
        <v>24</v>
      </c>
      <c r="T177" t="s">
        <v>24</v>
      </c>
      <c r="U177" t="s">
        <v>24</v>
      </c>
      <c r="V177" t="s">
        <v>25</v>
      </c>
      <c r="W177" t="s">
        <v>593</v>
      </c>
      <c r="X177" t="s">
        <v>26</v>
      </c>
      <c r="Y177" t="s">
        <v>24</v>
      </c>
    </row>
    <row r="178" spans="1:25" x14ac:dyDescent="0.35">
      <c r="A178" s="1" t="s">
        <v>594</v>
      </c>
      <c r="B178" s="1" t="s">
        <v>595</v>
      </c>
      <c r="C178" s="1" t="s">
        <v>596</v>
      </c>
      <c r="D178" s="1" t="s">
        <v>597</v>
      </c>
      <c r="E178" s="2" t="s">
        <v>2077</v>
      </c>
      <c r="F178" s="2" t="s">
        <v>1994</v>
      </c>
      <c r="G178" s="6">
        <v>500</v>
      </c>
      <c r="H178" s="8">
        <f t="shared" si="6"/>
        <v>431.0344827586207</v>
      </c>
      <c r="I178" s="2">
        <v>16</v>
      </c>
      <c r="J178" s="2">
        <f t="shared" si="5"/>
        <v>0.80976000000000004</v>
      </c>
      <c r="K178" t="s">
        <v>598</v>
      </c>
      <c r="L178">
        <v>3</v>
      </c>
      <c r="M178">
        <v>82</v>
      </c>
      <c r="N178">
        <v>82</v>
      </c>
      <c r="O178">
        <v>0</v>
      </c>
      <c r="P178">
        <v>246</v>
      </c>
      <c r="Q178">
        <v>3</v>
      </c>
      <c r="R178">
        <v>246</v>
      </c>
      <c r="S178" t="s">
        <v>24</v>
      </c>
      <c r="T178" t="s">
        <v>24</v>
      </c>
      <c r="U178" t="s">
        <v>24</v>
      </c>
      <c r="V178" t="s">
        <v>25</v>
      </c>
      <c r="W178" t="s">
        <v>598</v>
      </c>
      <c r="X178" t="s">
        <v>26</v>
      </c>
      <c r="Y178" t="s">
        <v>24</v>
      </c>
    </row>
    <row r="179" spans="1:25" x14ac:dyDescent="0.35">
      <c r="A179" s="1" t="s">
        <v>599</v>
      </c>
      <c r="B179" s="1" t="s">
        <v>600</v>
      </c>
      <c r="C179" s="1" t="s">
        <v>537</v>
      </c>
      <c r="D179" s="1" t="s">
        <v>538</v>
      </c>
      <c r="E179" s="2" t="s">
        <v>2078</v>
      </c>
      <c r="F179" s="2" t="s">
        <v>2061</v>
      </c>
      <c r="G179" s="6">
        <v>260</v>
      </c>
      <c r="H179" s="8">
        <f t="shared" si="6"/>
        <v>224.13793103448276</v>
      </c>
      <c r="I179" s="2">
        <v>16</v>
      </c>
      <c r="J179" s="2">
        <f t="shared" si="5"/>
        <v>0.80248769230769224</v>
      </c>
      <c r="K179" t="s">
        <v>601</v>
      </c>
      <c r="L179">
        <v>2</v>
      </c>
      <c r="M179">
        <v>44.27</v>
      </c>
      <c r="N179">
        <v>44.27</v>
      </c>
      <c r="O179">
        <v>0</v>
      </c>
      <c r="P179">
        <v>88.54</v>
      </c>
      <c r="Q179">
        <v>2</v>
      </c>
      <c r="R179">
        <v>88.54</v>
      </c>
      <c r="S179" t="s">
        <v>24</v>
      </c>
      <c r="T179" t="s">
        <v>24</v>
      </c>
      <c r="U179" t="s">
        <v>24</v>
      </c>
      <c r="V179" t="s">
        <v>25</v>
      </c>
      <c r="W179" t="s">
        <v>601</v>
      </c>
      <c r="X179" t="s">
        <v>26</v>
      </c>
      <c r="Y179" t="s">
        <v>24</v>
      </c>
    </row>
    <row r="180" spans="1:25" x14ac:dyDescent="0.35">
      <c r="A180" s="1" t="s">
        <v>602</v>
      </c>
      <c r="B180" s="1" t="s">
        <v>603</v>
      </c>
      <c r="C180" s="1" t="s">
        <v>537</v>
      </c>
      <c r="D180" s="1" t="s">
        <v>538</v>
      </c>
      <c r="E180" s="2" t="s">
        <v>2079</v>
      </c>
      <c r="F180" s="2" t="s">
        <v>2061</v>
      </c>
      <c r="G180" s="6">
        <v>60</v>
      </c>
      <c r="H180" s="8">
        <f t="shared" si="6"/>
        <v>60</v>
      </c>
      <c r="I180" s="2">
        <v>0</v>
      </c>
      <c r="J180" s="2">
        <f t="shared" si="5"/>
        <v>0.64069500000000001</v>
      </c>
      <c r="K180" t="s">
        <v>604</v>
      </c>
      <c r="L180">
        <v>1</v>
      </c>
      <c r="M180">
        <v>21.558299999999999</v>
      </c>
      <c r="N180">
        <v>21.558399999999999</v>
      </c>
      <c r="O180">
        <v>0</v>
      </c>
      <c r="P180">
        <v>21.558299999999999</v>
      </c>
      <c r="Q180">
        <v>1</v>
      </c>
      <c r="R180">
        <v>21.56</v>
      </c>
      <c r="S180" t="s">
        <v>24</v>
      </c>
      <c r="T180" t="s">
        <v>24</v>
      </c>
      <c r="U180" t="s">
        <v>24</v>
      </c>
      <c r="V180" t="s">
        <v>25</v>
      </c>
      <c r="W180" t="s">
        <v>604</v>
      </c>
      <c r="X180" t="s">
        <v>26</v>
      </c>
      <c r="Y180" t="s">
        <v>24</v>
      </c>
    </row>
    <row r="181" spans="1:25" x14ac:dyDescent="0.35">
      <c r="A181" s="1" t="s">
        <v>605</v>
      </c>
      <c r="B181" s="1" t="s">
        <v>606</v>
      </c>
      <c r="C181" s="1" t="s">
        <v>537</v>
      </c>
      <c r="D181" s="1" t="s">
        <v>538</v>
      </c>
      <c r="E181" s="2" t="s">
        <v>2080</v>
      </c>
      <c r="F181" s="2" t="s">
        <v>2061</v>
      </c>
      <c r="G181" s="6">
        <v>140</v>
      </c>
      <c r="H181" s="8">
        <f t="shared" si="6"/>
        <v>140</v>
      </c>
      <c r="I181" s="2">
        <v>0</v>
      </c>
      <c r="J181" s="2">
        <f t="shared" si="5"/>
        <v>0.93883142857142854</v>
      </c>
      <c r="K181" t="s">
        <v>607</v>
      </c>
      <c r="L181">
        <v>1</v>
      </c>
      <c r="M181">
        <v>8.5635999999999992</v>
      </c>
      <c r="N181">
        <v>8.5637000000000008</v>
      </c>
      <c r="O181">
        <v>0</v>
      </c>
      <c r="P181">
        <v>8.5635999999999992</v>
      </c>
      <c r="Q181">
        <v>1</v>
      </c>
      <c r="R181">
        <v>8.56</v>
      </c>
      <c r="S181" t="s">
        <v>24</v>
      </c>
      <c r="T181" t="s">
        <v>24</v>
      </c>
      <c r="U181" t="s">
        <v>24</v>
      </c>
      <c r="V181" t="s">
        <v>25</v>
      </c>
      <c r="W181" t="s">
        <v>607</v>
      </c>
      <c r="X181" t="s">
        <v>26</v>
      </c>
      <c r="Y181" t="s">
        <v>24</v>
      </c>
    </row>
    <row r="182" spans="1:25" x14ac:dyDescent="0.35">
      <c r="A182" s="1" t="s">
        <v>608</v>
      </c>
      <c r="B182" s="1" t="s">
        <v>609</v>
      </c>
      <c r="C182" s="1" t="s">
        <v>610</v>
      </c>
      <c r="D182" s="1" t="s">
        <v>611</v>
      </c>
      <c r="E182" s="2" t="s">
        <v>2081</v>
      </c>
      <c r="F182" s="2" t="s">
        <v>2082</v>
      </c>
      <c r="G182" s="6">
        <v>60</v>
      </c>
      <c r="H182" s="8">
        <f t="shared" si="6"/>
        <v>55.55555555555555</v>
      </c>
      <c r="I182" s="2">
        <v>8</v>
      </c>
      <c r="J182" s="2">
        <f t="shared" si="5"/>
        <v>0.77039020000000002</v>
      </c>
      <c r="K182" t="s">
        <v>612</v>
      </c>
      <c r="L182">
        <v>3</v>
      </c>
      <c r="M182">
        <v>12.7561</v>
      </c>
      <c r="N182">
        <v>12.7562</v>
      </c>
      <c r="O182">
        <v>0</v>
      </c>
      <c r="P182">
        <v>38.268300000000004</v>
      </c>
      <c r="Q182">
        <v>3</v>
      </c>
      <c r="R182">
        <v>38.270000000000003</v>
      </c>
      <c r="S182" t="s">
        <v>24</v>
      </c>
      <c r="T182" t="s">
        <v>24</v>
      </c>
      <c r="U182" t="s">
        <v>24</v>
      </c>
      <c r="V182" t="s">
        <v>25</v>
      </c>
      <c r="W182" t="s">
        <v>612</v>
      </c>
      <c r="X182" t="s">
        <v>26</v>
      </c>
      <c r="Y182" t="s">
        <v>24</v>
      </c>
    </row>
    <row r="183" spans="1:25" x14ac:dyDescent="0.35">
      <c r="A183" s="1" t="s">
        <v>613</v>
      </c>
      <c r="B183" s="1" t="s">
        <v>614</v>
      </c>
      <c r="C183" s="1" t="s">
        <v>553</v>
      </c>
      <c r="D183" s="1" t="s">
        <v>554</v>
      </c>
      <c r="E183" s="2" t="s">
        <v>2083</v>
      </c>
      <c r="F183" s="2" t="s">
        <v>2082</v>
      </c>
      <c r="G183" s="6">
        <v>60</v>
      </c>
      <c r="H183" s="8">
        <f t="shared" si="6"/>
        <v>55.55555555555555</v>
      </c>
      <c r="I183" s="2">
        <v>8</v>
      </c>
      <c r="J183" s="2">
        <f t="shared" si="5"/>
        <v>0.74313999999999991</v>
      </c>
      <c r="K183" t="s">
        <v>615</v>
      </c>
      <c r="L183">
        <v>3</v>
      </c>
      <c r="M183">
        <v>14.27</v>
      </c>
      <c r="N183">
        <v>14.27</v>
      </c>
      <c r="O183">
        <v>0</v>
      </c>
      <c r="P183">
        <v>42.81</v>
      </c>
      <c r="Q183">
        <v>3</v>
      </c>
      <c r="R183">
        <v>42.81</v>
      </c>
      <c r="S183" t="s">
        <v>24</v>
      </c>
      <c r="T183" t="s">
        <v>24</v>
      </c>
      <c r="U183" t="s">
        <v>24</v>
      </c>
      <c r="V183" t="s">
        <v>25</v>
      </c>
      <c r="W183" t="s">
        <v>615</v>
      </c>
      <c r="X183" t="s">
        <v>26</v>
      </c>
      <c r="Y183" t="s">
        <v>24</v>
      </c>
    </row>
    <row r="184" spans="1:25" x14ac:dyDescent="0.35">
      <c r="A184" s="1" t="s">
        <v>616</v>
      </c>
      <c r="B184" s="1" t="s">
        <v>617</v>
      </c>
      <c r="C184" s="1" t="s">
        <v>445</v>
      </c>
      <c r="D184" s="1" t="s">
        <v>446</v>
      </c>
      <c r="E184" s="2" t="s">
        <v>2084</v>
      </c>
      <c r="F184" s="2" t="s">
        <v>2082</v>
      </c>
      <c r="G184" s="6">
        <v>48</v>
      </c>
      <c r="H184" s="8">
        <f t="shared" si="6"/>
        <v>44.444444444444443</v>
      </c>
      <c r="I184" s="2">
        <v>8</v>
      </c>
      <c r="J184" s="2">
        <f t="shared" si="5"/>
        <v>0.61187499999999995</v>
      </c>
      <c r="K184" t="s">
        <v>618</v>
      </c>
      <c r="L184">
        <v>3</v>
      </c>
      <c r="M184">
        <v>17.25</v>
      </c>
      <c r="N184">
        <v>17.25</v>
      </c>
      <c r="O184">
        <v>0</v>
      </c>
      <c r="P184">
        <v>51.75</v>
      </c>
      <c r="Q184">
        <v>3</v>
      </c>
      <c r="R184">
        <v>51.75</v>
      </c>
      <c r="S184" t="s">
        <v>24</v>
      </c>
      <c r="T184" t="s">
        <v>24</v>
      </c>
      <c r="U184" t="s">
        <v>24</v>
      </c>
      <c r="V184" t="s">
        <v>25</v>
      </c>
      <c r="W184" t="s">
        <v>618</v>
      </c>
      <c r="X184" t="s">
        <v>26</v>
      </c>
      <c r="Y184" t="s">
        <v>24</v>
      </c>
    </row>
    <row r="185" spans="1:25" x14ac:dyDescent="0.35">
      <c r="A185" s="1" t="s">
        <v>619</v>
      </c>
      <c r="B185" s="1" t="s">
        <v>620</v>
      </c>
      <c r="C185" s="1" t="s">
        <v>403</v>
      </c>
      <c r="D185" s="1" t="s">
        <v>404</v>
      </c>
      <c r="E185" s="2" t="s">
        <v>2085</v>
      </c>
      <c r="F185" s="2" t="s">
        <v>2082</v>
      </c>
      <c r="G185" s="6">
        <v>300</v>
      </c>
      <c r="H185" s="8">
        <f t="shared" si="6"/>
        <v>258.62068965517244</v>
      </c>
      <c r="I185" s="2">
        <v>16</v>
      </c>
      <c r="J185" s="2">
        <f t="shared" si="5"/>
        <v>0.7944742933333333</v>
      </c>
      <c r="K185" t="s">
        <v>621</v>
      </c>
      <c r="L185">
        <v>48</v>
      </c>
      <c r="M185">
        <v>53.153199999999998</v>
      </c>
      <c r="N185">
        <v>53.153199999999998</v>
      </c>
      <c r="O185">
        <v>0</v>
      </c>
      <c r="P185">
        <v>2551.3535999999999</v>
      </c>
      <c r="Q185">
        <v>48</v>
      </c>
      <c r="R185">
        <v>2551.35</v>
      </c>
      <c r="S185" t="s">
        <v>24</v>
      </c>
      <c r="T185" t="s">
        <v>24</v>
      </c>
      <c r="U185" t="s">
        <v>24</v>
      </c>
      <c r="V185" t="s">
        <v>25</v>
      </c>
      <c r="W185" t="s">
        <v>621</v>
      </c>
      <c r="X185" t="s">
        <v>26</v>
      </c>
      <c r="Y185" t="s">
        <v>24</v>
      </c>
    </row>
    <row r="186" spans="1:25" x14ac:dyDescent="0.35">
      <c r="A186" s="1" t="s">
        <v>622</v>
      </c>
      <c r="B186" s="1" t="s">
        <v>623</v>
      </c>
      <c r="C186" s="1" t="s">
        <v>254</v>
      </c>
      <c r="D186" s="1" t="s">
        <v>255</v>
      </c>
      <c r="E186" s="2" t="s">
        <v>2086</v>
      </c>
      <c r="F186" s="2" t="s">
        <v>2082</v>
      </c>
      <c r="G186" s="6">
        <v>180</v>
      </c>
      <c r="H186" s="8">
        <f t="shared" si="6"/>
        <v>155.17241379310346</v>
      </c>
      <c r="I186" s="2">
        <v>16</v>
      </c>
      <c r="J186" s="2">
        <f t="shared" si="5"/>
        <v>0.75812195555555562</v>
      </c>
      <c r="K186" t="s">
        <v>624</v>
      </c>
      <c r="L186">
        <v>21</v>
      </c>
      <c r="M186">
        <v>37.532800000000002</v>
      </c>
      <c r="N186">
        <v>37.532800000000002</v>
      </c>
      <c r="O186">
        <v>0</v>
      </c>
      <c r="P186">
        <v>788.18880000000001</v>
      </c>
      <c r="Q186">
        <v>21</v>
      </c>
      <c r="R186">
        <v>788.19</v>
      </c>
      <c r="S186" t="s">
        <v>24</v>
      </c>
      <c r="T186" t="s">
        <v>24</v>
      </c>
      <c r="U186" t="s">
        <v>24</v>
      </c>
      <c r="V186" t="s">
        <v>25</v>
      </c>
      <c r="W186" t="s">
        <v>624</v>
      </c>
      <c r="X186" t="s">
        <v>26</v>
      </c>
      <c r="Y186" t="s">
        <v>24</v>
      </c>
    </row>
    <row r="187" spans="1:25" x14ac:dyDescent="0.35">
      <c r="A187" s="1" t="s">
        <v>625</v>
      </c>
      <c r="B187" s="1" t="s">
        <v>626</v>
      </c>
      <c r="C187" s="1" t="s">
        <v>292</v>
      </c>
      <c r="D187" s="1" t="s">
        <v>293</v>
      </c>
      <c r="E187" s="2" t="s">
        <v>2087</v>
      </c>
      <c r="F187" s="2" t="s">
        <v>2082</v>
      </c>
      <c r="G187" s="6">
        <v>55.5</v>
      </c>
      <c r="H187" s="8">
        <f t="shared" si="6"/>
        <v>51.388888888888886</v>
      </c>
      <c r="I187" s="2">
        <v>8</v>
      </c>
      <c r="J187" s="2">
        <f t="shared" si="5"/>
        <v>0.65945945945945939</v>
      </c>
      <c r="K187" t="s">
        <v>627</v>
      </c>
      <c r="L187">
        <v>1</v>
      </c>
      <c r="M187">
        <v>17.5</v>
      </c>
      <c r="N187">
        <v>17.5</v>
      </c>
      <c r="O187">
        <v>0</v>
      </c>
      <c r="P187">
        <v>17.5</v>
      </c>
      <c r="Q187">
        <v>1</v>
      </c>
      <c r="R187">
        <v>17.5</v>
      </c>
      <c r="S187" t="s">
        <v>24</v>
      </c>
      <c r="T187" t="s">
        <v>24</v>
      </c>
      <c r="U187" t="s">
        <v>24</v>
      </c>
      <c r="V187" t="s">
        <v>25</v>
      </c>
      <c r="W187" t="s">
        <v>627</v>
      </c>
      <c r="X187" t="s">
        <v>26</v>
      </c>
      <c r="Y187" t="s">
        <v>24</v>
      </c>
    </row>
    <row r="188" spans="1:25" x14ac:dyDescent="0.35">
      <c r="A188" s="1" t="s">
        <v>628</v>
      </c>
      <c r="B188" s="1" t="s">
        <v>629</v>
      </c>
      <c r="C188" s="1" t="s">
        <v>492</v>
      </c>
      <c r="D188" s="1" t="s">
        <v>493</v>
      </c>
      <c r="E188" s="2" t="s">
        <v>2088</v>
      </c>
      <c r="F188" s="2" t="s">
        <v>2082</v>
      </c>
      <c r="G188" s="6">
        <v>120</v>
      </c>
      <c r="H188" s="8">
        <f t="shared" si="6"/>
        <v>111.1111111111111</v>
      </c>
      <c r="I188" s="2">
        <v>8</v>
      </c>
      <c r="J188" s="2">
        <f t="shared" si="5"/>
        <v>0.73333000000000004</v>
      </c>
      <c r="K188" t="s">
        <v>630</v>
      </c>
      <c r="L188">
        <v>5</v>
      </c>
      <c r="M188">
        <v>29.63</v>
      </c>
      <c r="N188">
        <v>29.63</v>
      </c>
      <c r="O188">
        <v>0</v>
      </c>
      <c r="P188">
        <v>148.15</v>
      </c>
      <c r="Q188">
        <v>5</v>
      </c>
      <c r="R188">
        <v>148.15</v>
      </c>
      <c r="S188" t="s">
        <v>24</v>
      </c>
      <c r="T188" t="s">
        <v>24</v>
      </c>
      <c r="U188" t="s">
        <v>24</v>
      </c>
      <c r="V188" t="s">
        <v>25</v>
      </c>
      <c r="W188" t="s">
        <v>630</v>
      </c>
      <c r="X188" t="s">
        <v>26</v>
      </c>
      <c r="Y188" t="s">
        <v>24</v>
      </c>
    </row>
    <row r="189" spans="1:25" x14ac:dyDescent="0.35">
      <c r="A189" s="1" t="s">
        <v>631</v>
      </c>
      <c r="B189" s="1" t="s">
        <v>632</v>
      </c>
      <c r="C189" s="1" t="s">
        <v>633</v>
      </c>
      <c r="D189" s="1" t="s">
        <v>634</v>
      </c>
      <c r="E189" s="2" t="s">
        <v>2089</v>
      </c>
      <c r="F189" s="2" t="s">
        <v>2082</v>
      </c>
      <c r="G189" s="6">
        <v>40</v>
      </c>
      <c r="H189" s="8">
        <f t="shared" si="6"/>
        <v>37.037037037037038</v>
      </c>
      <c r="I189" s="2">
        <v>8</v>
      </c>
      <c r="J189" s="2">
        <f t="shared" si="5"/>
        <v>0.61875999999999998</v>
      </c>
      <c r="K189" t="s">
        <v>635</v>
      </c>
      <c r="L189">
        <v>2</v>
      </c>
      <c r="M189">
        <v>14.12</v>
      </c>
      <c r="N189">
        <v>14.12</v>
      </c>
      <c r="O189">
        <v>0</v>
      </c>
      <c r="P189">
        <v>28.24</v>
      </c>
      <c r="Q189">
        <v>2</v>
      </c>
      <c r="R189">
        <v>28.24</v>
      </c>
      <c r="S189" t="s">
        <v>24</v>
      </c>
      <c r="T189" t="s">
        <v>24</v>
      </c>
      <c r="U189" t="s">
        <v>24</v>
      </c>
      <c r="V189" t="s">
        <v>25</v>
      </c>
      <c r="W189" t="s">
        <v>635</v>
      </c>
      <c r="X189" t="s">
        <v>26</v>
      </c>
      <c r="Y189" t="s">
        <v>24</v>
      </c>
    </row>
    <row r="190" spans="1:25" x14ac:dyDescent="0.35">
      <c r="A190" s="1" t="s">
        <v>636</v>
      </c>
      <c r="B190" s="1" t="s">
        <v>637</v>
      </c>
      <c r="C190" s="1" t="s">
        <v>492</v>
      </c>
      <c r="D190" s="1" t="s">
        <v>493</v>
      </c>
      <c r="E190" s="2" t="s">
        <v>2090</v>
      </c>
      <c r="F190" s="2" t="s">
        <v>2082</v>
      </c>
      <c r="G190" s="6">
        <v>40</v>
      </c>
      <c r="H190" s="8">
        <f t="shared" si="6"/>
        <v>37.037037037037038</v>
      </c>
      <c r="I190" s="2">
        <v>8</v>
      </c>
      <c r="J190" s="2">
        <f t="shared" si="5"/>
        <v>0.61875999999999998</v>
      </c>
      <c r="K190" t="s">
        <v>638</v>
      </c>
      <c r="L190">
        <v>4</v>
      </c>
      <c r="M190">
        <v>14.12</v>
      </c>
      <c r="N190">
        <v>14.12</v>
      </c>
      <c r="O190">
        <v>0</v>
      </c>
      <c r="P190">
        <v>56.48</v>
      </c>
      <c r="Q190">
        <v>4</v>
      </c>
      <c r="R190">
        <v>56.48</v>
      </c>
      <c r="S190" t="s">
        <v>24</v>
      </c>
      <c r="T190" t="s">
        <v>24</v>
      </c>
      <c r="U190" t="s">
        <v>24</v>
      </c>
      <c r="V190" t="s">
        <v>25</v>
      </c>
      <c r="W190" t="s">
        <v>638</v>
      </c>
      <c r="X190" t="s">
        <v>26</v>
      </c>
      <c r="Y190" t="s">
        <v>24</v>
      </c>
    </row>
    <row r="191" spans="1:25" x14ac:dyDescent="0.35">
      <c r="A191" s="1" t="s">
        <v>639</v>
      </c>
      <c r="B191" s="1" t="s">
        <v>640</v>
      </c>
      <c r="C191" s="1" t="s">
        <v>641</v>
      </c>
      <c r="D191" s="1" t="s">
        <v>642</v>
      </c>
      <c r="E191" s="2" t="s">
        <v>2091</v>
      </c>
      <c r="F191" s="2" t="s">
        <v>2061</v>
      </c>
      <c r="G191" s="6">
        <v>180</v>
      </c>
      <c r="H191" s="8">
        <f t="shared" si="6"/>
        <v>155.17241379310346</v>
      </c>
      <c r="I191" s="2">
        <v>16</v>
      </c>
      <c r="J191" s="2">
        <f t="shared" si="5"/>
        <v>0.84262666666666663</v>
      </c>
      <c r="K191" t="s">
        <v>643</v>
      </c>
      <c r="L191">
        <v>3</v>
      </c>
      <c r="M191">
        <v>24.42</v>
      </c>
      <c r="N191">
        <v>24.42</v>
      </c>
      <c r="O191">
        <v>0</v>
      </c>
      <c r="P191">
        <v>73.260000000000005</v>
      </c>
      <c r="Q191">
        <v>3</v>
      </c>
      <c r="R191">
        <v>73.260000000000005</v>
      </c>
      <c r="S191" t="s">
        <v>24</v>
      </c>
      <c r="T191" t="s">
        <v>24</v>
      </c>
      <c r="U191" t="s">
        <v>24</v>
      </c>
      <c r="V191" t="s">
        <v>25</v>
      </c>
      <c r="W191" t="s">
        <v>643</v>
      </c>
      <c r="X191" t="s">
        <v>26</v>
      </c>
      <c r="Y191" t="s">
        <v>24</v>
      </c>
    </row>
    <row r="192" spans="1:25" x14ac:dyDescent="0.35">
      <c r="A192" s="1" t="s">
        <v>644</v>
      </c>
      <c r="B192" s="1" t="s">
        <v>645</v>
      </c>
      <c r="C192" s="1" t="s">
        <v>537</v>
      </c>
      <c r="D192" s="1" t="s">
        <v>538</v>
      </c>
      <c r="E192" s="2" t="s">
        <v>2092</v>
      </c>
      <c r="F192" s="2" t="s">
        <v>2061</v>
      </c>
      <c r="G192" s="6">
        <v>230</v>
      </c>
      <c r="H192" s="8">
        <f t="shared" si="6"/>
        <v>198.27586206896552</v>
      </c>
      <c r="I192" s="2">
        <v>16</v>
      </c>
      <c r="J192" s="2">
        <f t="shared" si="5"/>
        <v>0.67277913043478266</v>
      </c>
      <c r="K192" t="s">
        <v>646</v>
      </c>
      <c r="L192">
        <v>2</v>
      </c>
      <c r="M192">
        <v>64.88</v>
      </c>
      <c r="N192">
        <v>64.88</v>
      </c>
      <c r="O192">
        <v>0</v>
      </c>
      <c r="P192">
        <v>129.76</v>
      </c>
      <c r="Q192">
        <v>2</v>
      </c>
      <c r="R192">
        <v>129.76</v>
      </c>
      <c r="S192" t="s">
        <v>24</v>
      </c>
      <c r="T192" t="s">
        <v>24</v>
      </c>
      <c r="U192" t="s">
        <v>24</v>
      </c>
      <c r="V192" t="s">
        <v>25</v>
      </c>
      <c r="W192" t="s">
        <v>646</v>
      </c>
      <c r="X192" t="s">
        <v>26</v>
      </c>
      <c r="Y192" t="s">
        <v>24</v>
      </c>
    </row>
    <row r="193" spans="1:25" x14ac:dyDescent="0.35">
      <c r="A193" s="1" t="s">
        <v>647</v>
      </c>
      <c r="B193" s="1" t="s">
        <v>648</v>
      </c>
      <c r="C193" s="1" t="s">
        <v>537</v>
      </c>
      <c r="D193" s="1" t="s">
        <v>538</v>
      </c>
      <c r="E193" s="2" t="s">
        <v>2093</v>
      </c>
      <c r="F193" s="2" t="s">
        <v>2061</v>
      </c>
      <c r="G193" s="6">
        <v>80</v>
      </c>
      <c r="H193" s="8">
        <f t="shared" si="6"/>
        <v>68.965517241379317</v>
      </c>
      <c r="I193" s="2">
        <v>16</v>
      </c>
      <c r="J193" s="2">
        <f t="shared" si="5"/>
        <v>0.714785</v>
      </c>
      <c r="K193" t="s">
        <v>649</v>
      </c>
      <c r="L193">
        <v>3</v>
      </c>
      <c r="M193">
        <v>19.670000000000002</v>
      </c>
      <c r="N193">
        <v>19.670000000000002</v>
      </c>
      <c r="O193">
        <v>0</v>
      </c>
      <c r="P193">
        <v>59.01</v>
      </c>
      <c r="Q193">
        <v>3</v>
      </c>
      <c r="R193">
        <v>59.01</v>
      </c>
      <c r="S193" t="s">
        <v>24</v>
      </c>
      <c r="T193" t="s">
        <v>24</v>
      </c>
      <c r="U193" t="s">
        <v>24</v>
      </c>
      <c r="V193" t="s">
        <v>25</v>
      </c>
      <c r="W193" t="s">
        <v>649</v>
      </c>
      <c r="X193" t="s">
        <v>26</v>
      </c>
      <c r="Y193" t="s">
        <v>24</v>
      </c>
    </row>
    <row r="194" spans="1:25" x14ac:dyDescent="0.35">
      <c r="A194" s="1" t="s">
        <v>650</v>
      </c>
      <c r="B194" s="1" t="s">
        <v>651</v>
      </c>
      <c r="C194" s="1" t="s">
        <v>537</v>
      </c>
      <c r="D194" s="1" t="s">
        <v>538</v>
      </c>
      <c r="E194" s="2" t="s">
        <v>2094</v>
      </c>
      <c r="F194" s="2" t="s">
        <v>2061</v>
      </c>
      <c r="G194" s="6">
        <v>140</v>
      </c>
      <c r="H194" s="8">
        <f t="shared" si="6"/>
        <v>120.68965517241381</v>
      </c>
      <c r="I194" s="2">
        <v>16</v>
      </c>
      <c r="J194" s="2">
        <f t="shared" si="5"/>
        <v>0.7774457142857143</v>
      </c>
      <c r="K194" t="s">
        <v>652</v>
      </c>
      <c r="L194">
        <v>1</v>
      </c>
      <c r="M194">
        <v>26.86</v>
      </c>
      <c r="N194">
        <v>26.86</v>
      </c>
      <c r="O194">
        <v>0</v>
      </c>
      <c r="P194">
        <v>26.86</v>
      </c>
      <c r="Q194">
        <v>1</v>
      </c>
      <c r="R194">
        <v>26.86</v>
      </c>
      <c r="S194" t="s">
        <v>24</v>
      </c>
      <c r="T194" t="s">
        <v>24</v>
      </c>
      <c r="U194" t="s">
        <v>24</v>
      </c>
      <c r="V194" t="s">
        <v>25</v>
      </c>
      <c r="W194" t="s">
        <v>652</v>
      </c>
      <c r="X194" t="s">
        <v>26</v>
      </c>
      <c r="Y194" t="s">
        <v>24</v>
      </c>
    </row>
    <row r="195" spans="1:25" x14ac:dyDescent="0.35">
      <c r="A195" s="1" t="s">
        <v>653</v>
      </c>
      <c r="B195" s="1" t="s">
        <v>654</v>
      </c>
      <c r="C195" s="1" t="s">
        <v>254</v>
      </c>
      <c r="D195" s="1" t="s">
        <v>255</v>
      </c>
      <c r="E195" s="2" t="s">
        <v>2095</v>
      </c>
      <c r="F195" s="2" t="s">
        <v>2082</v>
      </c>
      <c r="G195" s="6">
        <v>300</v>
      </c>
      <c r="H195" s="8">
        <f t="shared" si="6"/>
        <v>258.62068965517244</v>
      </c>
      <c r="I195" s="2">
        <v>16</v>
      </c>
      <c r="J195" s="2">
        <f t="shared" ref="J195:J258" si="7">1-M195/H195</f>
        <v>0.79942672000000004</v>
      </c>
      <c r="K195" t="s">
        <v>655</v>
      </c>
      <c r="L195">
        <v>11</v>
      </c>
      <c r="M195">
        <v>51.872399999999999</v>
      </c>
      <c r="N195">
        <v>51.872399999999999</v>
      </c>
      <c r="O195">
        <v>0</v>
      </c>
      <c r="P195">
        <v>570.59640000000002</v>
      </c>
      <c r="Q195">
        <v>11</v>
      </c>
      <c r="R195">
        <v>570.6</v>
      </c>
      <c r="S195" t="s">
        <v>24</v>
      </c>
      <c r="T195" t="s">
        <v>24</v>
      </c>
      <c r="U195" t="s">
        <v>24</v>
      </c>
      <c r="V195" t="s">
        <v>25</v>
      </c>
      <c r="W195" t="s">
        <v>655</v>
      </c>
      <c r="X195" t="s">
        <v>26</v>
      </c>
      <c r="Y195" t="s">
        <v>24</v>
      </c>
    </row>
    <row r="196" spans="1:25" x14ac:dyDescent="0.35">
      <c r="A196" s="1" t="s">
        <v>656</v>
      </c>
      <c r="B196" s="1" t="s">
        <v>657</v>
      </c>
      <c r="C196" s="1" t="s">
        <v>403</v>
      </c>
      <c r="D196" s="1" t="s">
        <v>404</v>
      </c>
      <c r="E196" s="2" t="s">
        <v>2096</v>
      </c>
      <c r="F196" s="2" t="s">
        <v>2082</v>
      </c>
      <c r="G196" s="6">
        <v>20</v>
      </c>
      <c r="H196" s="8">
        <f t="shared" ref="H196:H259" si="8">+G196/(1+I196/100)</f>
        <v>18.518518518518519</v>
      </c>
      <c r="I196" s="2">
        <v>8</v>
      </c>
      <c r="J196" s="2">
        <f t="shared" si="7"/>
        <v>0.79696</v>
      </c>
      <c r="K196" t="s">
        <v>658</v>
      </c>
      <c r="L196">
        <v>1</v>
      </c>
      <c r="M196">
        <v>3.76</v>
      </c>
      <c r="N196">
        <v>3.76</v>
      </c>
      <c r="O196">
        <v>0</v>
      </c>
      <c r="P196">
        <v>3.76</v>
      </c>
      <c r="Q196">
        <v>1</v>
      </c>
      <c r="R196">
        <v>3.76</v>
      </c>
      <c r="S196" t="s">
        <v>24</v>
      </c>
      <c r="T196" t="s">
        <v>24</v>
      </c>
      <c r="U196" t="s">
        <v>24</v>
      </c>
      <c r="V196" t="s">
        <v>25</v>
      </c>
      <c r="W196" t="s">
        <v>658</v>
      </c>
      <c r="X196" t="s">
        <v>26</v>
      </c>
      <c r="Y196" t="s">
        <v>24</v>
      </c>
    </row>
    <row r="197" spans="1:25" x14ac:dyDescent="0.35">
      <c r="A197" s="1" t="s">
        <v>659</v>
      </c>
      <c r="B197" s="1" t="s">
        <v>660</v>
      </c>
      <c r="C197" s="1" t="s">
        <v>633</v>
      </c>
      <c r="D197" s="1" t="s">
        <v>634</v>
      </c>
      <c r="E197" s="2" t="s">
        <v>2097</v>
      </c>
      <c r="F197" s="2" t="s">
        <v>2082</v>
      </c>
      <c r="G197" s="6">
        <v>60</v>
      </c>
      <c r="H197" s="8">
        <f t="shared" si="8"/>
        <v>55.55555555555555</v>
      </c>
      <c r="I197" s="2">
        <v>8</v>
      </c>
      <c r="J197" s="2">
        <f t="shared" si="7"/>
        <v>0.74584000000000006</v>
      </c>
      <c r="K197" t="s">
        <v>661</v>
      </c>
      <c r="L197">
        <v>2</v>
      </c>
      <c r="M197">
        <v>14.12</v>
      </c>
      <c r="N197">
        <v>14.12</v>
      </c>
      <c r="O197">
        <v>0</v>
      </c>
      <c r="P197">
        <v>28.24</v>
      </c>
      <c r="Q197">
        <v>2</v>
      </c>
      <c r="R197">
        <v>28.24</v>
      </c>
      <c r="S197" t="s">
        <v>24</v>
      </c>
      <c r="T197" t="s">
        <v>24</v>
      </c>
      <c r="U197" t="s">
        <v>24</v>
      </c>
      <c r="V197" t="s">
        <v>25</v>
      </c>
      <c r="W197" t="s">
        <v>661</v>
      </c>
      <c r="X197" t="s">
        <v>26</v>
      </c>
      <c r="Y197" t="s">
        <v>24</v>
      </c>
    </row>
    <row r="198" spans="1:25" x14ac:dyDescent="0.35">
      <c r="A198" s="1" t="s">
        <v>662</v>
      </c>
      <c r="B198" s="1" t="s">
        <v>663</v>
      </c>
      <c r="C198" s="1" t="s">
        <v>664</v>
      </c>
      <c r="D198" s="1" t="s">
        <v>665</v>
      </c>
      <c r="E198" s="2" t="s">
        <v>2098</v>
      </c>
      <c r="F198" s="2" t="s">
        <v>2082</v>
      </c>
      <c r="G198" s="6">
        <v>140</v>
      </c>
      <c r="H198" s="8">
        <f t="shared" si="8"/>
        <v>129.62962962962962</v>
      </c>
      <c r="I198" s="2">
        <v>8</v>
      </c>
      <c r="J198" s="2">
        <f t="shared" si="7"/>
        <v>0.80783714285714281</v>
      </c>
      <c r="K198" t="s">
        <v>666</v>
      </c>
      <c r="L198">
        <v>4</v>
      </c>
      <c r="M198">
        <v>24.91</v>
      </c>
      <c r="N198">
        <v>24.91</v>
      </c>
      <c r="O198">
        <v>0</v>
      </c>
      <c r="P198">
        <v>99.64</v>
      </c>
      <c r="Q198">
        <v>4</v>
      </c>
      <c r="R198">
        <v>99.64</v>
      </c>
      <c r="S198" t="s">
        <v>24</v>
      </c>
      <c r="T198" t="s">
        <v>24</v>
      </c>
      <c r="U198" t="s">
        <v>24</v>
      </c>
      <c r="V198" t="s">
        <v>25</v>
      </c>
      <c r="W198" t="s">
        <v>666</v>
      </c>
      <c r="X198" t="s">
        <v>26</v>
      </c>
      <c r="Y198" t="s">
        <v>24</v>
      </c>
    </row>
    <row r="199" spans="1:25" x14ac:dyDescent="0.35">
      <c r="A199" s="1" t="s">
        <v>667</v>
      </c>
      <c r="B199" s="1" t="s">
        <v>668</v>
      </c>
      <c r="C199" s="1" t="s">
        <v>664</v>
      </c>
      <c r="D199" s="1" t="s">
        <v>665</v>
      </c>
      <c r="E199" s="2" t="s">
        <v>2099</v>
      </c>
      <c r="F199" s="2" t="s">
        <v>2082</v>
      </c>
      <c r="G199" s="6">
        <v>140</v>
      </c>
      <c r="H199" s="8">
        <f t="shared" si="8"/>
        <v>129.62962962962962</v>
      </c>
      <c r="I199" s="2">
        <v>8</v>
      </c>
      <c r="J199" s="2">
        <f t="shared" si="7"/>
        <v>0.78122285714285711</v>
      </c>
      <c r="K199" t="s">
        <v>669</v>
      </c>
      <c r="L199">
        <v>1</v>
      </c>
      <c r="M199">
        <v>28.36</v>
      </c>
      <c r="N199">
        <v>28.36</v>
      </c>
      <c r="O199">
        <v>0</v>
      </c>
      <c r="P199">
        <v>28.36</v>
      </c>
      <c r="Q199">
        <v>1</v>
      </c>
      <c r="R199">
        <v>28.36</v>
      </c>
      <c r="S199" t="s">
        <v>24</v>
      </c>
      <c r="T199" t="s">
        <v>24</v>
      </c>
      <c r="U199" t="s">
        <v>24</v>
      </c>
      <c r="V199" t="s">
        <v>25</v>
      </c>
      <c r="W199" t="s">
        <v>669</v>
      </c>
      <c r="X199" t="s">
        <v>26</v>
      </c>
      <c r="Y199" t="s">
        <v>24</v>
      </c>
    </row>
    <row r="200" spans="1:25" x14ac:dyDescent="0.35">
      <c r="A200" s="1" t="s">
        <v>670</v>
      </c>
      <c r="B200" s="1" t="s">
        <v>671</v>
      </c>
      <c r="C200" s="1" t="s">
        <v>492</v>
      </c>
      <c r="D200" s="1" t="s">
        <v>493</v>
      </c>
      <c r="E200" s="2" t="s">
        <v>2100</v>
      </c>
      <c r="F200" s="2" t="s">
        <v>2082</v>
      </c>
      <c r="G200" s="6">
        <v>60</v>
      </c>
      <c r="H200" s="8">
        <f t="shared" si="8"/>
        <v>55.55555555555555</v>
      </c>
      <c r="I200" s="2">
        <v>8</v>
      </c>
      <c r="J200" s="2">
        <f t="shared" si="7"/>
        <v>0.74584000000000006</v>
      </c>
      <c r="K200" t="s">
        <v>672</v>
      </c>
      <c r="L200">
        <v>7</v>
      </c>
      <c r="M200">
        <v>14.12</v>
      </c>
      <c r="N200">
        <v>14.12</v>
      </c>
      <c r="O200">
        <v>0</v>
      </c>
      <c r="P200">
        <v>98.84</v>
      </c>
      <c r="Q200">
        <v>7</v>
      </c>
      <c r="R200">
        <v>98.84</v>
      </c>
      <c r="S200" t="s">
        <v>24</v>
      </c>
      <c r="T200" t="s">
        <v>24</v>
      </c>
      <c r="U200" t="s">
        <v>24</v>
      </c>
      <c r="V200" t="s">
        <v>25</v>
      </c>
      <c r="W200" t="s">
        <v>672</v>
      </c>
      <c r="X200" t="s">
        <v>26</v>
      </c>
      <c r="Y200" t="s">
        <v>24</v>
      </c>
    </row>
    <row r="201" spans="1:25" x14ac:dyDescent="0.35">
      <c r="A201" s="1" t="s">
        <v>673</v>
      </c>
      <c r="B201" s="1" t="s">
        <v>674</v>
      </c>
      <c r="C201" s="1" t="s">
        <v>387</v>
      </c>
      <c r="D201" s="1" t="s">
        <v>388</v>
      </c>
      <c r="E201" s="2" t="s">
        <v>2101</v>
      </c>
      <c r="F201" s="2" t="s">
        <v>2082</v>
      </c>
      <c r="G201" s="6">
        <v>20</v>
      </c>
      <c r="H201" s="8">
        <f t="shared" si="8"/>
        <v>18.518518518518519</v>
      </c>
      <c r="I201" s="2">
        <v>8</v>
      </c>
      <c r="J201" s="2">
        <f t="shared" si="7"/>
        <v>0.80614000000000008</v>
      </c>
      <c r="K201" t="s">
        <v>675</v>
      </c>
      <c r="L201">
        <v>6</v>
      </c>
      <c r="M201">
        <v>3.59</v>
      </c>
      <c r="N201">
        <v>3.59</v>
      </c>
      <c r="O201">
        <v>0</v>
      </c>
      <c r="P201">
        <v>21.54</v>
      </c>
      <c r="Q201">
        <v>6</v>
      </c>
      <c r="R201">
        <v>21.54</v>
      </c>
      <c r="S201" t="s">
        <v>24</v>
      </c>
      <c r="T201" t="s">
        <v>24</v>
      </c>
      <c r="U201" t="s">
        <v>24</v>
      </c>
      <c r="V201" t="s">
        <v>25</v>
      </c>
      <c r="W201" t="s">
        <v>675</v>
      </c>
      <c r="X201" t="s">
        <v>26</v>
      </c>
      <c r="Y201" t="s">
        <v>24</v>
      </c>
    </row>
    <row r="202" spans="1:25" x14ac:dyDescent="0.35">
      <c r="A202" s="1" t="s">
        <v>676</v>
      </c>
      <c r="B202" s="1" t="s">
        <v>677</v>
      </c>
      <c r="C202" s="1" t="s">
        <v>295</v>
      </c>
      <c r="D202" s="1" t="s">
        <v>296</v>
      </c>
      <c r="E202" s="2" t="s">
        <v>2102</v>
      </c>
      <c r="F202" s="2" t="s">
        <v>1975</v>
      </c>
      <c r="G202" s="6">
        <v>240</v>
      </c>
      <c r="H202" s="8">
        <f t="shared" si="8"/>
        <v>206.89655172413794</v>
      </c>
      <c r="I202" s="2">
        <v>16</v>
      </c>
      <c r="J202" s="2">
        <f t="shared" si="7"/>
        <v>0.25247666666666668</v>
      </c>
      <c r="K202" t="s">
        <v>678</v>
      </c>
      <c r="L202">
        <v>1</v>
      </c>
      <c r="M202">
        <v>154.66</v>
      </c>
      <c r="N202">
        <v>154.66</v>
      </c>
      <c r="O202">
        <v>0</v>
      </c>
      <c r="P202">
        <v>154.66</v>
      </c>
      <c r="Q202">
        <v>1</v>
      </c>
      <c r="R202">
        <v>154.66</v>
      </c>
      <c r="S202" t="s">
        <v>24</v>
      </c>
      <c r="T202" t="s">
        <v>24</v>
      </c>
      <c r="U202" t="s">
        <v>24</v>
      </c>
      <c r="V202" t="s">
        <v>25</v>
      </c>
      <c r="W202" t="s">
        <v>678</v>
      </c>
      <c r="X202" t="s">
        <v>26</v>
      </c>
      <c r="Y202" t="s">
        <v>24</v>
      </c>
    </row>
    <row r="203" spans="1:25" x14ac:dyDescent="0.35">
      <c r="A203" s="1" t="s">
        <v>679</v>
      </c>
      <c r="B203" s="1" t="s">
        <v>680</v>
      </c>
      <c r="C203" s="1" t="s">
        <v>664</v>
      </c>
      <c r="D203" s="1" t="s">
        <v>665</v>
      </c>
      <c r="E203" s="2" t="s">
        <v>2103</v>
      </c>
      <c r="F203" s="2" t="s">
        <v>2082</v>
      </c>
      <c r="G203" s="6">
        <v>140</v>
      </c>
      <c r="H203" s="8">
        <f t="shared" si="8"/>
        <v>129.62962962962962</v>
      </c>
      <c r="I203" s="2">
        <v>8</v>
      </c>
      <c r="J203" s="2">
        <f t="shared" si="7"/>
        <v>0.80783714285714281</v>
      </c>
      <c r="K203" t="s">
        <v>681</v>
      </c>
      <c r="L203">
        <v>2</v>
      </c>
      <c r="M203">
        <v>24.91</v>
      </c>
      <c r="N203">
        <v>24.91</v>
      </c>
      <c r="O203">
        <v>0</v>
      </c>
      <c r="P203">
        <v>49.82</v>
      </c>
      <c r="Q203">
        <v>2</v>
      </c>
      <c r="R203">
        <v>49.82</v>
      </c>
      <c r="S203" t="s">
        <v>24</v>
      </c>
      <c r="T203" t="s">
        <v>24</v>
      </c>
      <c r="U203" t="s">
        <v>24</v>
      </c>
      <c r="V203" t="s">
        <v>25</v>
      </c>
      <c r="W203" t="s">
        <v>681</v>
      </c>
      <c r="X203" t="s">
        <v>26</v>
      </c>
      <c r="Y203" t="s">
        <v>24</v>
      </c>
    </row>
    <row r="204" spans="1:25" x14ac:dyDescent="0.35">
      <c r="A204" s="1" t="s">
        <v>682</v>
      </c>
      <c r="B204" s="1" t="s">
        <v>683</v>
      </c>
      <c r="C204" s="1" t="s">
        <v>542</v>
      </c>
      <c r="D204" s="1" t="s">
        <v>543</v>
      </c>
      <c r="E204" s="2" t="s">
        <v>2104</v>
      </c>
      <c r="F204" s="2" t="s">
        <v>2105</v>
      </c>
      <c r="G204" s="6">
        <v>380</v>
      </c>
      <c r="H204" s="8">
        <f t="shared" si="8"/>
        <v>327.58620689655174</v>
      </c>
      <c r="I204" s="2">
        <v>16</v>
      </c>
      <c r="J204" s="2">
        <f t="shared" si="7"/>
        <v>0.91806736842105263</v>
      </c>
      <c r="K204" t="s">
        <v>684</v>
      </c>
      <c r="L204">
        <v>1</v>
      </c>
      <c r="M204">
        <v>26.84</v>
      </c>
      <c r="N204">
        <v>26.84</v>
      </c>
      <c r="O204">
        <v>0</v>
      </c>
      <c r="P204">
        <v>26.84</v>
      </c>
      <c r="Q204">
        <v>1</v>
      </c>
      <c r="R204">
        <v>26.84</v>
      </c>
      <c r="S204" t="s">
        <v>24</v>
      </c>
      <c r="T204" t="s">
        <v>24</v>
      </c>
      <c r="U204" t="s">
        <v>24</v>
      </c>
      <c r="V204" t="s">
        <v>685</v>
      </c>
      <c r="W204" t="s">
        <v>684</v>
      </c>
      <c r="X204" t="s">
        <v>26</v>
      </c>
      <c r="Y204" t="s">
        <v>24</v>
      </c>
    </row>
    <row r="205" spans="1:25" x14ac:dyDescent="0.35">
      <c r="A205" s="1" t="s">
        <v>686</v>
      </c>
      <c r="B205" s="1" t="s">
        <v>687</v>
      </c>
      <c r="C205" s="1" t="s">
        <v>254</v>
      </c>
      <c r="D205" s="1" t="s">
        <v>255</v>
      </c>
      <c r="E205" s="2" t="s">
        <v>2106</v>
      </c>
      <c r="F205" s="2" t="s">
        <v>1911</v>
      </c>
      <c r="G205" s="6">
        <v>700</v>
      </c>
      <c r="H205" s="8">
        <f t="shared" si="8"/>
        <v>603.44827586206895</v>
      </c>
      <c r="I205" s="2">
        <v>16</v>
      </c>
      <c r="J205" s="2">
        <f t="shared" si="7"/>
        <v>0.71994285714285722</v>
      </c>
      <c r="K205" t="s">
        <v>688</v>
      </c>
      <c r="L205">
        <v>1</v>
      </c>
      <c r="M205">
        <v>169</v>
      </c>
      <c r="N205">
        <v>169</v>
      </c>
      <c r="O205">
        <v>0</v>
      </c>
      <c r="P205">
        <v>169</v>
      </c>
      <c r="Q205">
        <v>1</v>
      </c>
      <c r="R205">
        <v>169</v>
      </c>
      <c r="S205" t="s">
        <v>24</v>
      </c>
      <c r="T205" t="s">
        <v>24</v>
      </c>
      <c r="U205" t="s">
        <v>24</v>
      </c>
      <c r="V205" t="s">
        <v>25</v>
      </c>
      <c r="W205" t="s">
        <v>688</v>
      </c>
      <c r="X205" t="s">
        <v>26</v>
      </c>
      <c r="Y205" t="s">
        <v>24</v>
      </c>
    </row>
    <row r="206" spans="1:25" x14ac:dyDescent="0.35">
      <c r="A206" s="1" t="s">
        <v>689</v>
      </c>
      <c r="B206" s="1" t="s">
        <v>690</v>
      </c>
      <c r="C206" s="1" t="s">
        <v>691</v>
      </c>
      <c r="D206" s="1" t="s">
        <v>692</v>
      </c>
      <c r="E206" s="2" t="s">
        <v>2107</v>
      </c>
      <c r="F206" s="2" t="s">
        <v>2082</v>
      </c>
      <c r="G206" s="6">
        <v>60</v>
      </c>
      <c r="H206" s="8">
        <f t="shared" si="8"/>
        <v>51.724137931034484</v>
      </c>
      <c r="I206" s="2">
        <v>16</v>
      </c>
      <c r="J206" s="2">
        <f t="shared" si="7"/>
        <v>0.6944366666666667</v>
      </c>
      <c r="K206" t="s">
        <v>693</v>
      </c>
      <c r="L206">
        <v>5</v>
      </c>
      <c r="M206">
        <v>15.805</v>
      </c>
      <c r="N206">
        <v>15.805</v>
      </c>
      <c r="O206">
        <v>0</v>
      </c>
      <c r="P206">
        <v>79.025000000000006</v>
      </c>
      <c r="Q206">
        <v>5</v>
      </c>
      <c r="R206">
        <v>79.03</v>
      </c>
      <c r="S206" t="s">
        <v>24</v>
      </c>
      <c r="T206" t="s">
        <v>24</v>
      </c>
      <c r="U206" t="s">
        <v>24</v>
      </c>
      <c r="V206" t="s">
        <v>25</v>
      </c>
      <c r="W206" t="s">
        <v>693</v>
      </c>
      <c r="X206" t="s">
        <v>26</v>
      </c>
      <c r="Y206" t="s">
        <v>24</v>
      </c>
    </row>
    <row r="207" spans="1:25" x14ac:dyDescent="0.35">
      <c r="A207" s="1" t="s">
        <v>694</v>
      </c>
      <c r="B207" s="1" t="s">
        <v>695</v>
      </c>
      <c r="C207" s="1" t="s">
        <v>696</v>
      </c>
      <c r="D207" s="1" t="s">
        <v>697</v>
      </c>
      <c r="E207" s="2" t="s">
        <v>2108</v>
      </c>
      <c r="F207" s="2" t="s">
        <v>2082</v>
      </c>
      <c r="G207" s="6">
        <v>60</v>
      </c>
      <c r="H207" s="8">
        <f t="shared" si="8"/>
        <v>51.724137931034484</v>
      </c>
      <c r="I207" s="2">
        <v>16</v>
      </c>
      <c r="J207" s="2">
        <f t="shared" si="7"/>
        <v>0.73819573333333333</v>
      </c>
      <c r="K207" t="s">
        <v>698</v>
      </c>
      <c r="L207">
        <v>10</v>
      </c>
      <c r="M207">
        <v>13.541600000000001</v>
      </c>
      <c r="N207">
        <v>13.541600000000001</v>
      </c>
      <c r="O207">
        <v>0</v>
      </c>
      <c r="P207">
        <v>135.416</v>
      </c>
      <c r="Q207">
        <v>10</v>
      </c>
      <c r="R207">
        <v>135.41999999999999</v>
      </c>
      <c r="S207" t="s">
        <v>24</v>
      </c>
      <c r="T207" t="s">
        <v>24</v>
      </c>
      <c r="U207" t="s">
        <v>24</v>
      </c>
      <c r="V207" t="s">
        <v>25</v>
      </c>
      <c r="W207" t="s">
        <v>698</v>
      </c>
      <c r="X207" t="s">
        <v>26</v>
      </c>
      <c r="Y207" t="s">
        <v>24</v>
      </c>
    </row>
    <row r="208" spans="1:25" x14ac:dyDescent="0.35">
      <c r="A208" s="1" t="s">
        <v>699</v>
      </c>
      <c r="B208" s="1" t="s">
        <v>700</v>
      </c>
      <c r="C208" s="1" t="s">
        <v>696</v>
      </c>
      <c r="D208" s="1" t="s">
        <v>697</v>
      </c>
      <c r="E208" s="2" t="s">
        <v>2109</v>
      </c>
      <c r="F208" s="2" t="s">
        <v>2082</v>
      </c>
      <c r="G208" s="6">
        <v>80</v>
      </c>
      <c r="H208" s="8">
        <f t="shared" si="8"/>
        <v>68.965517241379317</v>
      </c>
      <c r="I208" s="2">
        <v>16</v>
      </c>
      <c r="J208" s="2">
        <f t="shared" si="7"/>
        <v>0.69374550000000013</v>
      </c>
      <c r="K208" t="s">
        <v>701</v>
      </c>
      <c r="L208">
        <v>4</v>
      </c>
      <c r="M208">
        <v>21.120999999999999</v>
      </c>
      <c r="N208">
        <v>21.120999999999999</v>
      </c>
      <c r="O208">
        <v>0</v>
      </c>
      <c r="P208">
        <v>84.483999999999995</v>
      </c>
      <c r="Q208">
        <v>4</v>
      </c>
      <c r="R208">
        <v>84.48</v>
      </c>
      <c r="S208" t="s">
        <v>24</v>
      </c>
      <c r="T208" t="s">
        <v>24</v>
      </c>
      <c r="U208" t="s">
        <v>24</v>
      </c>
      <c r="V208" t="s">
        <v>25</v>
      </c>
      <c r="W208" t="s">
        <v>701</v>
      </c>
      <c r="X208" t="s">
        <v>26</v>
      </c>
      <c r="Y208" t="s">
        <v>24</v>
      </c>
    </row>
    <row r="209" spans="1:25" x14ac:dyDescent="0.35">
      <c r="A209" s="1" t="s">
        <v>702</v>
      </c>
      <c r="B209" s="1" t="s">
        <v>703</v>
      </c>
      <c r="C209" s="1" t="s">
        <v>265</v>
      </c>
      <c r="D209" s="1" t="s">
        <v>266</v>
      </c>
      <c r="E209" s="2" t="s">
        <v>2110</v>
      </c>
      <c r="F209" s="2" t="s">
        <v>2061</v>
      </c>
      <c r="G209" s="6">
        <v>40</v>
      </c>
      <c r="H209" s="8">
        <f t="shared" si="8"/>
        <v>34.482758620689658</v>
      </c>
      <c r="I209" s="2">
        <v>16</v>
      </c>
      <c r="J209" s="2">
        <f t="shared" si="7"/>
        <v>0.66227180000000008</v>
      </c>
      <c r="K209" t="s">
        <v>704</v>
      </c>
      <c r="L209">
        <v>4</v>
      </c>
      <c r="M209">
        <v>11.645799999999999</v>
      </c>
      <c r="N209">
        <v>11.645799999999999</v>
      </c>
      <c r="O209">
        <v>0</v>
      </c>
      <c r="P209">
        <v>34.937399999999997</v>
      </c>
      <c r="Q209">
        <v>3</v>
      </c>
      <c r="R209">
        <v>34.94</v>
      </c>
      <c r="S209" t="s">
        <v>24</v>
      </c>
      <c r="T209" t="s">
        <v>24</v>
      </c>
      <c r="U209" t="s">
        <v>24</v>
      </c>
      <c r="V209" t="s">
        <v>25</v>
      </c>
      <c r="W209" t="s">
        <v>704</v>
      </c>
      <c r="X209" t="s">
        <v>26</v>
      </c>
      <c r="Y209" t="s">
        <v>24</v>
      </c>
    </row>
    <row r="210" spans="1:25" x14ac:dyDescent="0.35">
      <c r="A210" s="1" t="s">
        <v>705</v>
      </c>
      <c r="B210" s="1" t="s">
        <v>706</v>
      </c>
      <c r="C210" s="1" t="s">
        <v>239</v>
      </c>
      <c r="D210" s="1" t="s">
        <v>240</v>
      </c>
      <c r="E210" s="2" t="s">
        <v>2111</v>
      </c>
      <c r="F210" s="2" t="s">
        <v>2061</v>
      </c>
      <c r="G210" s="6">
        <v>420</v>
      </c>
      <c r="H210" s="8">
        <f t="shared" si="8"/>
        <v>362.06896551724139</v>
      </c>
      <c r="I210" s="2">
        <v>16</v>
      </c>
      <c r="J210" s="2">
        <f t="shared" si="7"/>
        <v>0.68884380952380952</v>
      </c>
      <c r="K210" t="s">
        <v>707</v>
      </c>
      <c r="L210">
        <v>1</v>
      </c>
      <c r="M210">
        <v>112.66</v>
      </c>
      <c r="N210">
        <v>112.66</v>
      </c>
      <c r="O210">
        <v>0</v>
      </c>
      <c r="P210">
        <v>112.66</v>
      </c>
      <c r="Q210">
        <v>1</v>
      </c>
      <c r="R210">
        <v>112.66</v>
      </c>
      <c r="S210" t="s">
        <v>24</v>
      </c>
      <c r="T210" t="s">
        <v>24</v>
      </c>
      <c r="U210" t="s">
        <v>24</v>
      </c>
      <c r="V210" t="s">
        <v>25</v>
      </c>
      <c r="W210" t="s">
        <v>707</v>
      </c>
      <c r="X210" t="s">
        <v>26</v>
      </c>
      <c r="Y210" t="s">
        <v>24</v>
      </c>
    </row>
    <row r="211" spans="1:25" x14ac:dyDescent="0.35">
      <c r="A211" s="1" t="s">
        <v>708</v>
      </c>
      <c r="B211" s="1" t="s">
        <v>709</v>
      </c>
      <c r="C211" s="1" t="s">
        <v>553</v>
      </c>
      <c r="D211" s="1" t="s">
        <v>554</v>
      </c>
      <c r="E211" s="2" t="s">
        <v>2112</v>
      </c>
      <c r="F211" s="2" t="s">
        <v>2082</v>
      </c>
      <c r="G211" s="6">
        <v>160</v>
      </c>
      <c r="H211" s="8">
        <f t="shared" si="8"/>
        <v>148.14814814814815</v>
      </c>
      <c r="I211" s="2">
        <v>8</v>
      </c>
      <c r="J211" s="2">
        <f t="shared" si="7"/>
        <v>0.72001000000000004</v>
      </c>
      <c r="K211" t="s">
        <v>710</v>
      </c>
      <c r="L211">
        <v>2</v>
      </c>
      <c r="M211">
        <v>41.48</v>
      </c>
      <c r="N211">
        <v>41.48</v>
      </c>
      <c r="O211">
        <v>0</v>
      </c>
      <c r="P211">
        <v>82.96</v>
      </c>
      <c r="Q211">
        <v>2</v>
      </c>
      <c r="R211">
        <v>82.96</v>
      </c>
      <c r="S211" t="s">
        <v>24</v>
      </c>
      <c r="T211" t="s">
        <v>24</v>
      </c>
      <c r="U211" t="s">
        <v>24</v>
      </c>
      <c r="V211" t="s">
        <v>25</v>
      </c>
      <c r="W211" t="s">
        <v>710</v>
      </c>
      <c r="X211" t="s">
        <v>26</v>
      </c>
      <c r="Y211" t="s">
        <v>24</v>
      </c>
    </row>
    <row r="212" spans="1:25" x14ac:dyDescent="0.35">
      <c r="A212" s="1" t="s">
        <v>631</v>
      </c>
      <c r="B212" s="1" t="s">
        <v>632</v>
      </c>
      <c r="C212" s="1" t="s">
        <v>295</v>
      </c>
      <c r="D212" s="1" t="s">
        <v>296</v>
      </c>
      <c r="E212" s="2" t="s">
        <v>2089</v>
      </c>
      <c r="F212" s="2" t="s">
        <v>2082</v>
      </c>
      <c r="G212" s="6">
        <v>40</v>
      </c>
      <c r="H212" s="8">
        <f t="shared" si="8"/>
        <v>37.037037037037038</v>
      </c>
      <c r="I212" s="2">
        <v>8</v>
      </c>
      <c r="J212" s="2">
        <f t="shared" si="7"/>
        <v>0.61875999999999998</v>
      </c>
      <c r="K212" t="s">
        <v>711</v>
      </c>
      <c r="L212">
        <v>1</v>
      </c>
      <c r="M212">
        <v>14.12</v>
      </c>
      <c r="N212">
        <v>14.12</v>
      </c>
      <c r="O212">
        <v>0</v>
      </c>
      <c r="P212">
        <v>14.12</v>
      </c>
      <c r="Q212">
        <v>1</v>
      </c>
      <c r="R212">
        <v>14.12</v>
      </c>
      <c r="S212" t="s">
        <v>24</v>
      </c>
      <c r="T212" t="s">
        <v>24</v>
      </c>
      <c r="U212" t="s">
        <v>24</v>
      </c>
      <c r="V212" t="s">
        <v>25</v>
      </c>
      <c r="W212" t="s">
        <v>711</v>
      </c>
      <c r="X212" t="s">
        <v>26</v>
      </c>
      <c r="Y212" t="s">
        <v>24</v>
      </c>
    </row>
    <row r="213" spans="1:25" x14ac:dyDescent="0.35">
      <c r="A213" s="1" t="s">
        <v>712</v>
      </c>
      <c r="B213" s="1" t="s">
        <v>713</v>
      </c>
      <c r="C213" s="1" t="s">
        <v>492</v>
      </c>
      <c r="D213" s="1" t="s">
        <v>493</v>
      </c>
      <c r="E213" s="2" t="s">
        <v>2113</v>
      </c>
      <c r="F213" s="2" t="s">
        <v>2082</v>
      </c>
      <c r="G213" s="6">
        <v>60</v>
      </c>
      <c r="H213" s="8">
        <f t="shared" si="8"/>
        <v>55.55555555555555</v>
      </c>
      <c r="I213" s="2">
        <v>8</v>
      </c>
      <c r="J213" s="2">
        <f t="shared" si="7"/>
        <v>0.74584000000000006</v>
      </c>
      <c r="K213" t="s">
        <v>714</v>
      </c>
      <c r="L213">
        <v>5</v>
      </c>
      <c r="M213">
        <v>14.12</v>
      </c>
      <c r="N213">
        <v>14.12</v>
      </c>
      <c r="O213">
        <v>0</v>
      </c>
      <c r="P213">
        <v>70.599999999999994</v>
      </c>
      <c r="Q213">
        <v>5</v>
      </c>
      <c r="R213">
        <v>70.599999999999994</v>
      </c>
      <c r="S213" t="s">
        <v>24</v>
      </c>
      <c r="T213" t="s">
        <v>24</v>
      </c>
      <c r="U213" t="s">
        <v>24</v>
      </c>
      <c r="V213" t="s">
        <v>25</v>
      </c>
      <c r="W213" t="s">
        <v>714</v>
      </c>
      <c r="X213" t="s">
        <v>26</v>
      </c>
      <c r="Y213" t="s">
        <v>24</v>
      </c>
    </row>
    <row r="214" spans="1:25" x14ac:dyDescent="0.35">
      <c r="A214" s="1" t="s">
        <v>715</v>
      </c>
      <c r="B214" s="1" t="s">
        <v>716</v>
      </c>
      <c r="C214" s="1" t="s">
        <v>633</v>
      </c>
      <c r="D214" s="1" t="s">
        <v>634</v>
      </c>
      <c r="E214" s="2" t="s">
        <v>2114</v>
      </c>
      <c r="F214" s="2" t="s">
        <v>2082</v>
      </c>
      <c r="G214" s="6">
        <v>40</v>
      </c>
      <c r="H214" s="8">
        <f t="shared" si="8"/>
        <v>37.037037037037038</v>
      </c>
      <c r="I214" s="2">
        <v>8</v>
      </c>
      <c r="J214" s="2">
        <f t="shared" si="7"/>
        <v>0.58213179999999998</v>
      </c>
      <c r="K214" t="s">
        <v>717</v>
      </c>
      <c r="L214">
        <v>4</v>
      </c>
      <c r="M214">
        <v>15.476599999999999</v>
      </c>
      <c r="N214">
        <v>15.476599999999999</v>
      </c>
      <c r="O214">
        <v>0</v>
      </c>
      <c r="P214">
        <v>61.906399999999998</v>
      </c>
      <c r="Q214">
        <v>4</v>
      </c>
      <c r="R214">
        <v>61.91</v>
      </c>
      <c r="S214" t="s">
        <v>24</v>
      </c>
      <c r="T214" t="s">
        <v>24</v>
      </c>
      <c r="U214" t="s">
        <v>24</v>
      </c>
      <c r="V214" t="s">
        <v>25</v>
      </c>
      <c r="W214" t="s">
        <v>717</v>
      </c>
      <c r="X214" t="s">
        <v>26</v>
      </c>
      <c r="Y214" t="s">
        <v>24</v>
      </c>
    </row>
    <row r="215" spans="1:25" x14ac:dyDescent="0.35">
      <c r="A215" s="1" t="s">
        <v>718</v>
      </c>
      <c r="B215" s="1" t="s">
        <v>719</v>
      </c>
      <c r="C215" s="1" t="s">
        <v>387</v>
      </c>
      <c r="D215" s="1" t="s">
        <v>388</v>
      </c>
      <c r="E215" s="2" t="s">
        <v>2115</v>
      </c>
      <c r="F215" s="2" t="s">
        <v>2082</v>
      </c>
      <c r="G215" s="6">
        <v>180</v>
      </c>
      <c r="H215" s="8">
        <f t="shared" si="8"/>
        <v>166.66666666666666</v>
      </c>
      <c r="I215" s="2">
        <v>8</v>
      </c>
      <c r="J215" s="2">
        <f t="shared" si="7"/>
        <v>0.83679999999999999</v>
      </c>
      <c r="K215" t="s">
        <v>720</v>
      </c>
      <c r="L215">
        <v>1</v>
      </c>
      <c r="M215">
        <v>27.2</v>
      </c>
      <c r="N215">
        <v>27.2</v>
      </c>
      <c r="O215">
        <v>0</v>
      </c>
      <c r="P215">
        <v>27.2</v>
      </c>
      <c r="Q215">
        <v>1</v>
      </c>
      <c r="R215">
        <v>27.2</v>
      </c>
      <c r="S215" t="s">
        <v>24</v>
      </c>
      <c r="T215" t="s">
        <v>24</v>
      </c>
      <c r="U215" t="s">
        <v>24</v>
      </c>
      <c r="V215" t="s">
        <v>25</v>
      </c>
      <c r="W215" t="s">
        <v>720</v>
      </c>
      <c r="X215" t="s">
        <v>26</v>
      </c>
      <c r="Y215" t="s">
        <v>24</v>
      </c>
    </row>
    <row r="216" spans="1:25" x14ac:dyDescent="0.35">
      <c r="A216" s="1" t="s">
        <v>721</v>
      </c>
      <c r="B216" s="1" t="s">
        <v>722</v>
      </c>
      <c r="C216" s="1" t="s">
        <v>295</v>
      </c>
      <c r="D216" s="1" t="s">
        <v>296</v>
      </c>
      <c r="E216" s="2" t="s">
        <v>2116</v>
      </c>
      <c r="F216" s="2" t="s">
        <v>1975</v>
      </c>
      <c r="G216" s="6">
        <v>780</v>
      </c>
      <c r="H216" s="8">
        <f t="shared" si="8"/>
        <v>672.41379310344837</v>
      </c>
      <c r="I216" s="2">
        <v>16</v>
      </c>
      <c r="J216" s="2">
        <f t="shared" si="7"/>
        <v>0.61615897435897438</v>
      </c>
      <c r="K216" t="s">
        <v>723</v>
      </c>
      <c r="L216">
        <v>6</v>
      </c>
      <c r="M216">
        <v>258.10000000000002</v>
      </c>
      <c r="N216">
        <v>258.10000000000002</v>
      </c>
      <c r="O216">
        <v>0</v>
      </c>
      <c r="P216">
        <v>1548.6</v>
      </c>
      <c r="Q216">
        <v>6</v>
      </c>
      <c r="R216">
        <v>1548.6</v>
      </c>
      <c r="S216" t="s">
        <v>24</v>
      </c>
      <c r="T216" t="s">
        <v>24</v>
      </c>
      <c r="U216" t="s">
        <v>24</v>
      </c>
      <c r="V216" t="s">
        <v>25</v>
      </c>
      <c r="W216" t="s">
        <v>723</v>
      </c>
      <c r="X216" t="s">
        <v>26</v>
      </c>
      <c r="Y216" t="s">
        <v>24</v>
      </c>
    </row>
    <row r="217" spans="1:25" x14ac:dyDescent="0.35">
      <c r="A217" s="1" t="s">
        <v>724</v>
      </c>
      <c r="B217" s="1" t="s">
        <v>725</v>
      </c>
      <c r="C217" s="1" t="s">
        <v>295</v>
      </c>
      <c r="D217" s="1" t="s">
        <v>296</v>
      </c>
      <c r="E217" s="2" t="s">
        <v>2117</v>
      </c>
      <c r="F217" s="2" t="s">
        <v>1975</v>
      </c>
      <c r="G217" s="6">
        <v>1380</v>
      </c>
      <c r="H217" s="8">
        <f t="shared" si="8"/>
        <v>1189.6551724137933</v>
      </c>
      <c r="I217" s="2">
        <v>16</v>
      </c>
      <c r="J217" s="2">
        <f t="shared" si="7"/>
        <v>0.81429913043478264</v>
      </c>
      <c r="K217" t="s">
        <v>726</v>
      </c>
      <c r="L217">
        <v>1</v>
      </c>
      <c r="M217">
        <v>220.92</v>
      </c>
      <c r="N217">
        <v>220.92</v>
      </c>
      <c r="O217">
        <v>0</v>
      </c>
      <c r="P217">
        <v>220.92</v>
      </c>
      <c r="Q217">
        <v>1</v>
      </c>
      <c r="R217">
        <v>220.92</v>
      </c>
      <c r="S217" t="s">
        <v>24</v>
      </c>
      <c r="T217" t="s">
        <v>24</v>
      </c>
      <c r="U217" t="s">
        <v>24</v>
      </c>
      <c r="V217" t="s">
        <v>25</v>
      </c>
      <c r="W217" t="s">
        <v>726</v>
      </c>
      <c r="X217" t="s">
        <v>26</v>
      </c>
      <c r="Y217" t="s">
        <v>24</v>
      </c>
    </row>
    <row r="218" spans="1:25" x14ac:dyDescent="0.35">
      <c r="A218" s="1" t="s">
        <v>727</v>
      </c>
      <c r="B218" s="1" t="s">
        <v>728</v>
      </c>
      <c r="C218" s="1" t="s">
        <v>29</v>
      </c>
      <c r="D218" s="1" t="s">
        <v>30</v>
      </c>
      <c r="E218" s="2" t="s">
        <v>2118</v>
      </c>
      <c r="F218" s="2" t="s">
        <v>1913</v>
      </c>
      <c r="G218" s="6">
        <v>300</v>
      </c>
      <c r="H218" s="8">
        <f t="shared" si="8"/>
        <v>258.62068965517244</v>
      </c>
      <c r="I218" s="2">
        <v>16</v>
      </c>
      <c r="J218" s="2">
        <f t="shared" si="7"/>
        <v>0.73087999999999997</v>
      </c>
      <c r="K218" t="s">
        <v>729</v>
      </c>
      <c r="L218">
        <v>6</v>
      </c>
      <c r="M218">
        <v>69.599999999999994</v>
      </c>
      <c r="N218">
        <v>69.599999999999994</v>
      </c>
      <c r="O218">
        <v>0</v>
      </c>
      <c r="P218">
        <v>417.6</v>
      </c>
      <c r="Q218">
        <v>6</v>
      </c>
      <c r="R218">
        <v>417.6</v>
      </c>
      <c r="S218" t="s">
        <v>24</v>
      </c>
      <c r="T218" t="s">
        <v>24</v>
      </c>
      <c r="U218" t="s">
        <v>24</v>
      </c>
      <c r="V218" t="s">
        <v>25</v>
      </c>
      <c r="W218" t="s">
        <v>729</v>
      </c>
      <c r="X218" t="s">
        <v>26</v>
      </c>
      <c r="Y218" t="s">
        <v>24</v>
      </c>
    </row>
    <row r="219" spans="1:25" x14ac:dyDescent="0.35">
      <c r="A219" s="1" t="s">
        <v>730</v>
      </c>
      <c r="B219" s="1" t="s">
        <v>731</v>
      </c>
      <c r="C219" s="1" t="s">
        <v>29</v>
      </c>
      <c r="D219" s="1" t="s">
        <v>30</v>
      </c>
      <c r="E219" s="2" t="s">
        <v>2119</v>
      </c>
      <c r="F219" s="2" t="s">
        <v>1913</v>
      </c>
      <c r="G219" s="6">
        <v>300</v>
      </c>
      <c r="H219" s="8">
        <f t="shared" si="8"/>
        <v>258.62068965517244</v>
      </c>
      <c r="I219" s="2">
        <v>16</v>
      </c>
      <c r="J219" s="2">
        <f t="shared" si="7"/>
        <v>0.73088696000000009</v>
      </c>
      <c r="K219" t="s">
        <v>732</v>
      </c>
      <c r="L219">
        <v>5</v>
      </c>
      <c r="M219">
        <v>69.598200000000006</v>
      </c>
      <c r="N219">
        <v>69.598200000000006</v>
      </c>
      <c r="O219">
        <v>0</v>
      </c>
      <c r="P219">
        <v>347.99099999999999</v>
      </c>
      <c r="Q219">
        <v>5</v>
      </c>
      <c r="R219">
        <v>347.99</v>
      </c>
      <c r="S219" t="s">
        <v>24</v>
      </c>
      <c r="T219" t="s">
        <v>24</v>
      </c>
      <c r="U219" t="s">
        <v>24</v>
      </c>
      <c r="V219" t="s">
        <v>25</v>
      </c>
      <c r="W219" t="s">
        <v>732</v>
      </c>
      <c r="X219" t="s">
        <v>26</v>
      </c>
      <c r="Y219" t="s">
        <v>24</v>
      </c>
    </row>
    <row r="220" spans="1:25" x14ac:dyDescent="0.35">
      <c r="A220" s="1" t="s">
        <v>733</v>
      </c>
      <c r="B220" s="1" t="s">
        <v>734</v>
      </c>
      <c r="C220" s="1" t="s">
        <v>29</v>
      </c>
      <c r="D220" s="1" t="s">
        <v>30</v>
      </c>
      <c r="E220" s="2" t="s">
        <v>2120</v>
      </c>
      <c r="F220" s="2" t="s">
        <v>1913</v>
      </c>
      <c r="G220" s="6">
        <v>300</v>
      </c>
      <c r="H220" s="8">
        <f t="shared" si="8"/>
        <v>258.62068965517244</v>
      </c>
      <c r="I220" s="2">
        <v>16</v>
      </c>
      <c r="J220" s="2">
        <f t="shared" si="7"/>
        <v>0.75175999999999998</v>
      </c>
      <c r="K220" t="s">
        <v>735</v>
      </c>
      <c r="L220">
        <v>6</v>
      </c>
      <c r="M220">
        <v>64.2</v>
      </c>
      <c r="N220">
        <v>64.2</v>
      </c>
      <c r="O220">
        <v>0</v>
      </c>
      <c r="P220">
        <v>385.2</v>
      </c>
      <c r="Q220">
        <v>6</v>
      </c>
      <c r="R220">
        <v>385.2</v>
      </c>
      <c r="S220" t="s">
        <v>24</v>
      </c>
      <c r="T220" t="s">
        <v>24</v>
      </c>
      <c r="U220" t="s">
        <v>24</v>
      </c>
      <c r="V220" t="s">
        <v>25</v>
      </c>
      <c r="W220" t="s">
        <v>735</v>
      </c>
      <c r="X220" t="s">
        <v>26</v>
      </c>
      <c r="Y220" t="s">
        <v>24</v>
      </c>
    </row>
    <row r="221" spans="1:25" x14ac:dyDescent="0.35">
      <c r="A221" s="1" t="s">
        <v>736</v>
      </c>
      <c r="B221" s="1" t="s">
        <v>737</v>
      </c>
      <c r="C221" s="1" t="s">
        <v>21</v>
      </c>
      <c r="D221" s="1" t="s">
        <v>22</v>
      </c>
      <c r="E221" s="2" t="s">
        <v>2121</v>
      </c>
      <c r="F221" s="2" t="s">
        <v>1911</v>
      </c>
      <c r="G221" s="6">
        <v>4120</v>
      </c>
      <c r="H221" s="8">
        <f t="shared" si="8"/>
        <v>3551.7241379310349</v>
      </c>
      <c r="I221" s="2">
        <v>16</v>
      </c>
      <c r="J221" s="2">
        <f t="shared" si="7"/>
        <v>0.69952902912621362</v>
      </c>
      <c r="K221" t="s">
        <v>738</v>
      </c>
      <c r="L221">
        <v>1</v>
      </c>
      <c r="M221">
        <v>1067.19</v>
      </c>
      <c r="N221">
        <v>1067.19</v>
      </c>
      <c r="O221">
        <v>0</v>
      </c>
      <c r="P221">
        <v>1067.19</v>
      </c>
      <c r="Q221">
        <v>1</v>
      </c>
      <c r="R221">
        <v>1067.19</v>
      </c>
      <c r="S221" t="s">
        <v>24</v>
      </c>
      <c r="T221" t="s">
        <v>24</v>
      </c>
      <c r="U221" t="s">
        <v>24</v>
      </c>
      <c r="V221" t="s">
        <v>25</v>
      </c>
      <c r="W221" t="s">
        <v>738</v>
      </c>
      <c r="X221" t="s">
        <v>26</v>
      </c>
      <c r="Y221" t="s">
        <v>24</v>
      </c>
    </row>
    <row r="222" spans="1:25" x14ac:dyDescent="0.35">
      <c r="A222" s="1" t="s">
        <v>739</v>
      </c>
      <c r="B222" s="1" t="s">
        <v>740</v>
      </c>
      <c r="C222" s="1" t="s">
        <v>21</v>
      </c>
      <c r="D222" s="1" t="s">
        <v>22</v>
      </c>
      <c r="E222" s="2" t="s">
        <v>2122</v>
      </c>
      <c r="F222" s="2" t="s">
        <v>1911</v>
      </c>
      <c r="G222" s="6">
        <v>3380</v>
      </c>
      <c r="H222" s="8">
        <f t="shared" si="8"/>
        <v>2913.7931034482763</v>
      </c>
      <c r="I222" s="2">
        <v>16</v>
      </c>
      <c r="J222" s="2">
        <f t="shared" si="7"/>
        <v>0.70058958579881669</v>
      </c>
      <c r="K222" t="s">
        <v>741</v>
      </c>
      <c r="L222">
        <v>1</v>
      </c>
      <c r="M222">
        <v>872.42</v>
      </c>
      <c r="N222">
        <v>872.42</v>
      </c>
      <c r="O222">
        <v>0</v>
      </c>
      <c r="P222">
        <v>872.42</v>
      </c>
      <c r="Q222">
        <v>1</v>
      </c>
      <c r="R222">
        <v>872.42</v>
      </c>
      <c r="S222" t="s">
        <v>24</v>
      </c>
      <c r="T222" t="s">
        <v>24</v>
      </c>
      <c r="U222" t="s">
        <v>24</v>
      </c>
      <c r="V222" t="s">
        <v>25</v>
      </c>
      <c r="W222" t="s">
        <v>741</v>
      </c>
      <c r="X222" t="s">
        <v>26</v>
      </c>
      <c r="Y222" t="s">
        <v>24</v>
      </c>
    </row>
    <row r="223" spans="1:25" x14ac:dyDescent="0.35">
      <c r="A223" s="1" t="s">
        <v>742</v>
      </c>
      <c r="B223" s="1" t="s">
        <v>743</v>
      </c>
      <c r="C223" s="1" t="s">
        <v>60</v>
      </c>
      <c r="D223" s="1" t="s">
        <v>61</v>
      </c>
      <c r="E223" s="2" t="s">
        <v>1923</v>
      </c>
      <c r="F223" s="2" t="s">
        <v>1911</v>
      </c>
      <c r="G223" s="6">
        <v>480</v>
      </c>
      <c r="H223" s="8">
        <f t="shared" si="8"/>
        <v>413.79310344827587</v>
      </c>
      <c r="I223" s="2">
        <v>16</v>
      </c>
      <c r="J223" s="2">
        <f t="shared" si="7"/>
        <v>0.70308833333333332</v>
      </c>
      <c r="K223" t="s">
        <v>744</v>
      </c>
      <c r="L223">
        <v>1</v>
      </c>
      <c r="M223">
        <v>122.86</v>
      </c>
      <c r="N223">
        <v>122.86</v>
      </c>
      <c r="O223">
        <v>0</v>
      </c>
      <c r="P223">
        <v>122.86</v>
      </c>
      <c r="Q223">
        <v>1</v>
      </c>
      <c r="R223">
        <v>122.86</v>
      </c>
      <c r="S223" t="s">
        <v>24</v>
      </c>
      <c r="T223" t="s">
        <v>24</v>
      </c>
      <c r="U223" t="s">
        <v>24</v>
      </c>
      <c r="V223" t="s">
        <v>25</v>
      </c>
      <c r="W223" t="s">
        <v>744</v>
      </c>
      <c r="X223" t="s">
        <v>26</v>
      </c>
      <c r="Y223" t="s">
        <v>24</v>
      </c>
    </row>
    <row r="224" spans="1:25" x14ac:dyDescent="0.35">
      <c r="A224" s="1" t="s">
        <v>745</v>
      </c>
      <c r="B224" s="1" t="s">
        <v>746</v>
      </c>
      <c r="C224" s="1" t="s">
        <v>60</v>
      </c>
      <c r="D224" s="1" t="s">
        <v>61</v>
      </c>
      <c r="E224" s="2" t="s">
        <v>2123</v>
      </c>
      <c r="F224" s="2" t="s">
        <v>1911</v>
      </c>
      <c r="G224" s="6">
        <v>320</v>
      </c>
      <c r="H224" s="8">
        <f t="shared" si="8"/>
        <v>275.86206896551727</v>
      </c>
      <c r="I224" s="2">
        <v>16</v>
      </c>
      <c r="J224" s="2">
        <f t="shared" si="7"/>
        <v>0.70333000000000001</v>
      </c>
      <c r="K224" t="s">
        <v>747</v>
      </c>
      <c r="L224">
        <v>1</v>
      </c>
      <c r="M224">
        <v>81.84</v>
      </c>
      <c r="N224">
        <v>81.84</v>
      </c>
      <c r="O224">
        <v>0</v>
      </c>
      <c r="P224">
        <v>81.84</v>
      </c>
      <c r="Q224">
        <v>1</v>
      </c>
      <c r="R224">
        <v>81.84</v>
      </c>
      <c r="S224" t="s">
        <v>24</v>
      </c>
      <c r="T224" t="s">
        <v>24</v>
      </c>
      <c r="U224" t="s">
        <v>24</v>
      </c>
      <c r="V224" t="s">
        <v>25</v>
      </c>
      <c r="W224" t="s">
        <v>747</v>
      </c>
      <c r="X224" t="s">
        <v>26</v>
      </c>
      <c r="Y224" t="s">
        <v>24</v>
      </c>
    </row>
    <row r="225" spans="1:25" x14ac:dyDescent="0.35">
      <c r="A225" s="1" t="s">
        <v>748</v>
      </c>
      <c r="B225" s="1" t="s">
        <v>749</v>
      </c>
      <c r="C225" s="1" t="s">
        <v>60</v>
      </c>
      <c r="D225" s="1" t="s">
        <v>61</v>
      </c>
      <c r="E225" s="2" t="s">
        <v>2123</v>
      </c>
      <c r="F225" s="2" t="s">
        <v>1911</v>
      </c>
      <c r="G225" s="6">
        <v>320</v>
      </c>
      <c r="H225" s="8">
        <f t="shared" si="8"/>
        <v>275.86206896551727</v>
      </c>
      <c r="I225" s="2">
        <v>16</v>
      </c>
      <c r="J225" s="2">
        <f t="shared" si="7"/>
        <v>0.70333000000000001</v>
      </c>
      <c r="K225" t="s">
        <v>750</v>
      </c>
      <c r="L225">
        <v>1</v>
      </c>
      <c r="M225">
        <v>81.84</v>
      </c>
      <c r="N225">
        <v>81.84</v>
      </c>
      <c r="O225">
        <v>0</v>
      </c>
      <c r="P225">
        <v>81.84</v>
      </c>
      <c r="Q225">
        <v>1</v>
      </c>
      <c r="R225">
        <v>81.84</v>
      </c>
      <c r="S225" t="s">
        <v>24</v>
      </c>
      <c r="T225" t="s">
        <v>24</v>
      </c>
      <c r="U225" t="s">
        <v>24</v>
      </c>
      <c r="V225" t="s">
        <v>25</v>
      </c>
      <c r="W225" t="s">
        <v>750</v>
      </c>
      <c r="X225" t="s">
        <v>26</v>
      </c>
      <c r="Y225" t="s">
        <v>24</v>
      </c>
    </row>
    <row r="226" spans="1:25" x14ac:dyDescent="0.35">
      <c r="A226" s="1" t="s">
        <v>751</v>
      </c>
      <c r="B226" s="1" t="s">
        <v>752</v>
      </c>
      <c r="C226" s="1" t="s">
        <v>77</v>
      </c>
      <c r="D226" s="1" t="s">
        <v>78</v>
      </c>
      <c r="E226" s="2" t="s">
        <v>2124</v>
      </c>
      <c r="F226" s="2" t="s">
        <v>1911</v>
      </c>
      <c r="G226" s="6">
        <v>1380</v>
      </c>
      <c r="H226" s="8">
        <f t="shared" si="8"/>
        <v>1189.6551724137933</v>
      </c>
      <c r="I226" s="2">
        <v>16</v>
      </c>
      <c r="J226" s="2">
        <f t="shared" si="7"/>
        <v>0.71420289855072472</v>
      </c>
      <c r="K226" t="s">
        <v>753</v>
      </c>
      <c r="L226">
        <v>2</v>
      </c>
      <c r="M226">
        <v>340</v>
      </c>
      <c r="N226">
        <v>340</v>
      </c>
      <c r="O226">
        <v>0</v>
      </c>
      <c r="P226">
        <v>680</v>
      </c>
      <c r="Q226">
        <v>2</v>
      </c>
      <c r="R226">
        <v>680</v>
      </c>
      <c r="S226" t="s">
        <v>24</v>
      </c>
      <c r="T226" t="s">
        <v>24</v>
      </c>
      <c r="U226" t="s">
        <v>24</v>
      </c>
      <c r="V226" t="s">
        <v>25</v>
      </c>
      <c r="W226" t="s">
        <v>753</v>
      </c>
      <c r="X226" t="s">
        <v>26</v>
      </c>
      <c r="Y226" t="s">
        <v>24</v>
      </c>
    </row>
    <row r="227" spans="1:25" x14ac:dyDescent="0.35">
      <c r="A227" s="1" t="s">
        <v>754</v>
      </c>
      <c r="B227" s="1" t="s">
        <v>755</v>
      </c>
      <c r="C227" s="1" t="s">
        <v>77</v>
      </c>
      <c r="D227" s="1" t="s">
        <v>78</v>
      </c>
      <c r="E227" s="2" t="s">
        <v>2125</v>
      </c>
      <c r="F227" s="2" t="s">
        <v>1911</v>
      </c>
      <c r="G227" s="6">
        <v>1780</v>
      </c>
      <c r="H227" s="8">
        <f t="shared" si="8"/>
        <v>1534.4827586206898</v>
      </c>
      <c r="I227" s="2">
        <v>16</v>
      </c>
      <c r="J227" s="2">
        <f t="shared" si="7"/>
        <v>0.69370786516853933</v>
      </c>
      <c r="K227" t="s">
        <v>756</v>
      </c>
      <c r="L227">
        <v>3</v>
      </c>
      <c r="M227">
        <v>470</v>
      </c>
      <c r="N227">
        <v>470</v>
      </c>
      <c r="O227">
        <v>0</v>
      </c>
      <c r="P227">
        <v>1410</v>
      </c>
      <c r="Q227">
        <v>3</v>
      </c>
      <c r="R227">
        <v>1410</v>
      </c>
      <c r="S227" t="s">
        <v>24</v>
      </c>
      <c r="T227" t="s">
        <v>24</v>
      </c>
      <c r="U227" t="s">
        <v>24</v>
      </c>
      <c r="V227" t="s">
        <v>25</v>
      </c>
      <c r="W227" t="s">
        <v>756</v>
      </c>
      <c r="X227" t="s">
        <v>26</v>
      </c>
      <c r="Y227" t="s">
        <v>24</v>
      </c>
    </row>
    <row r="228" spans="1:25" x14ac:dyDescent="0.35">
      <c r="A228" s="1" t="s">
        <v>757</v>
      </c>
      <c r="B228" s="1" t="s">
        <v>758</v>
      </c>
      <c r="C228" s="1" t="s">
        <v>77</v>
      </c>
      <c r="D228" s="1" t="s">
        <v>78</v>
      </c>
      <c r="E228" s="2" t="s">
        <v>1959</v>
      </c>
      <c r="F228" s="2" t="s">
        <v>1911</v>
      </c>
      <c r="G228" s="6">
        <v>1180</v>
      </c>
      <c r="H228" s="8">
        <f t="shared" si="8"/>
        <v>1017.2413793103449</v>
      </c>
      <c r="I228" s="2">
        <v>16</v>
      </c>
      <c r="J228" s="2">
        <f t="shared" si="7"/>
        <v>0.67755932203389835</v>
      </c>
      <c r="K228" t="s">
        <v>759</v>
      </c>
      <c r="L228">
        <v>3</v>
      </c>
      <c r="M228">
        <v>328</v>
      </c>
      <c r="N228">
        <v>328</v>
      </c>
      <c r="O228">
        <v>0</v>
      </c>
      <c r="P228">
        <v>984</v>
      </c>
      <c r="Q228">
        <v>3</v>
      </c>
      <c r="R228">
        <v>984</v>
      </c>
      <c r="S228" t="s">
        <v>24</v>
      </c>
      <c r="T228" t="s">
        <v>24</v>
      </c>
      <c r="U228" t="s">
        <v>24</v>
      </c>
      <c r="V228" t="s">
        <v>25</v>
      </c>
      <c r="W228" t="s">
        <v>759</v>
      </c>
      <c r="X228" t="s">
        <v>26</v>
      </c>
      <c r="Y228" t="s">
        <v>24</v>
      </c>
    </row>
    <row r="229" spans="1:25" x14ac:dyDescent="0.35">
      <c r="A229" s="1" t="s">
        <v>760</v>
      </c>
      <c r="B229" s="1" t="s">
        <v>761</v>
      </c>
      <c r="C229" s="1" t="s">
        <v>77</v>
      </c>
      <c r="D229" s="1" t="s">
        <v>78</v>
      </c>
      <c r="E229" s="2" t="s">
        <v>2126</v>
      </c>
      <c r="F229" s="2" t="s">
        <v>1911</v>
      </c>
      <c r="G229" s="6">
        <v>1780</v>
      </c>
      <c r="H229" s="8">
        <f t="shared" si="8"/>
        <v>1534.4827586206898</v>
      </c>
      <c r="I229" s="2">
        <v>16</v>
      </c>
      <c r="J229" s="2">
        <f t="shared" si="7"/>
        <v>0.68523595505617974</v>
      </c>
      <c r="K229" t="s">
        <v>762</v>
      </c>
      <c r="L229">
        <v>4</v>
      </c>
      <c r="M229">
        <v>483</v>
      </c>
      <c r="N229">
        <v>483</v>
      </c>
      <c r="O229">
        <v>0</v>
      </c>
      <c r="P229">
        <v>1932</v>
      </c>
      <c r="Q229">
        <v>4</v>
      </c>
      <c r="R229">
        <v>1932</v>
      </c>
      <c r="S229" t="s">
        <v>24</v>
      </c>
      <c r="T229" t="s">
        <v>24</v>
      </c>
      <c r="U229" t="s">
        <v>24</v>
      </c>
      <c r="V229" t="s">
        <v>25</v>
      </c>
      <c r="W229" t="s">
        <v>762</v>
      </c>
      <c r="X229" t="s">
        <v>26</v>
      </c>
      <c r="Y229" t="s">
        <v>24</v>
      </c>
    </row>
    <row r="230" spans="1:25" x14ac:dyDescent="0.35">
      <c r="A230" s="1" t="s">
        <v>763</v>
      </c>
      <c r="B230" s="1" t="s">
        <v>764</v>
      </c>
      <c r="C230" s="1" t="s">
        <v>77</v>
      </c>
      <c r="D230" s="1" t="s">
        <v>78</v>
      </c>
      <c r="E230" s="2" t="s">
        <v>2127</v>
      </c>
      <c r="F230" s="2" t="s">
        <v>1911</v>
      </c>
      <c r="G230" s="6">
        <v>2380</v>
      </c>
      <c r="H230" s="8">
        <f t="shared" si="8"/>
        <v>2051.7241379310344</v>
      </c>
      <c r="I230" s="2">
        <v>16</v>
      </c>
      <c r="J230" s="2">
        <f t="shared" si="7"/>
        <v>0.70756302521008396</v>
      </c>
      <c r="K230" t="s">
        <v>765</v>
      </c>
      <c r="L230">
        <v>2</v>
      </c>
      <c r="M230">
        <v>600</v>
      </c>
      <c r="N230">
        <v>600</v>
      </c>
      <c r="O230">
        <v>0</v>
      </c>
      <c r="P230">
        <v>1200</v>
      </c>
      <c r="Q230">
        <v>2</v>
      </c>
      <c r="R230">
        <v>1200</v>
      </c>
      <c r="S230" t="s">
        <v>24</v>
      </c>
      <c r="T230" t="s">
        <v>24</v>
      </c>
      <c r="U230" t="s">
        <v>24</v>
      </c>
      <c r="V230" t="s">
        <v>25</v>
      </c>
      <c r="W230" t="s">
        <v>765</v>
      </c>
      <c r="X230" t="s">
        <v>26</v>
      </c>
      <c r="Y230" t="s">
        <v>24</v>
      </c>
    </row>
    <row r="231" spans="1:25" x14ac:dyDescent="0.35">
      <c r="A231" s="1" t="s">
        <v>766</v>
      </c>
      <c r="B231" s="1" t="s">
        <v>767</v>
      </c>
      <c r="C231" s="1" t="s">
        <v>77</v>
      </c>
      <c r="D231" s="1" t="s">
        <v>78</v>
      </c>
      <c r="E231" s="2" t="s">
        <v>2128</v>
      </c>
      <c r="F231" s="2" t="s">
        <v>1911</v>
      </c>
      <c r="G231" s="6">
        <v>1980</v>
      </c>
      <c r="H231" s="8">
        <f t="shared" si="8"/>
        <v>1706.8965517241381</v>
      </c>
      <c r="I231" s="2">
        <v>16</v>
      </c>
      <c r="J231" s="2">
        <f t="shared" si="7"/>
        <v>0.66664646464646471</v>
      </c>
      <c r="K231" t="s">
        <v>768</v>
      </c>
      <c r="L231">
        <v>1</v>
      </c>
      <c r="M231">
        <v>569</v>
      </c>
      <c r="N231">
        <v>569</v>
      </c>
      <c r="O231">
        <v>0</v>
      </c>
      <c r="P231">
        <v>569</v>
      </c>
      <c r="Q231">
        <v>1</v>
      </c>
      <c r="R231">
        <v>569</v>
      </c>
      <c r="S231" t="s">
        <v>24</v>
      </c>
      <c r="T231" t="s">
        <v>24</v>
      </c>
      <c r="U231" t="s">
        <v>24</v>
      </c>
      <c r="V231" t="s">
        <v>25</v>
      </c>
      <c r="W231" t="s">
        <v>768</v>
      </c>
      <c r="X231" t="s">
        <v>26</v>
      </c>
      <c r="Y231" t="s">
        <v>24</v>
      </c>
    </row>
    <row r="232" spans="1:25" x14ac:dyDescent="0.35">
      <c r="A232" s="1" t="s">
        <v>769</v>
      </c>
      <c r="B232" s="1" t="s">
        <v>770</v>
      </c>
      <c r="C232" s="1" t="s">
        <v>77</v>
      </c>
      <c r="D232" s="1" t="s">
        <v>78</v>
      </c>
      <c r="E232" s="2" t="s">
        <v>2129</v>
      </c>
      <c r="F232" s="2" t="s">
        <v>1911</v>
      </c>
      <c r="G232" s="6">
        <v>2580</v>
      </c>
      <c r="H232" s="8">
        <f t="shared" si="8"/>
        <v>2224.1379310344828</v>
      </c>
      <c r="I232" s="2">
        <v>16</v>
      </c>
      <c r="J232" s="2">
        <f t="shared" si="7"/>
        <v>0.69426356589147287</v>
      </c>
      <c r="K232" t="s">
        <v>771</v>
      </c>
      <c r="L232">
        <v>1</v>
      </c>
      <c r="M232">
        <v>680</v>
      </c>
      <c r="N232">
        <v>680</v>
      </c>
      <c r="O232">
        <v>0</v>
      </c>
      <c r="P232">
        <v>680</v>
      </c>
      <c r="Q232">
        <v>1</v>
      </c>
      <c r="R232">
        <v>680</v>
      </c>
      <c r="S232" t="s">
        <v>24</v>
      </c>
      <c r="T232" t="s">
        <v>24</v>
      </c>
      <c r="U232" t="s">
        <v>24</v>
      </c>
      <c r="V232" t="s">
        <v>25</v>
      </c>
      <c r="W232" t="s">
        <v>771</v>
      </c>
      <c r="X232" t="s">
        <v>26</v>
      </c>
      <c r="Y232" t="s">
        <v>24</v>
      </c>
    </row>
    <row r="233" spans="1:25" x14ac:dyDescent="0.35">
      <c r="A233" s="1" t="s">
        <v>772</v>
      </c>
      <c r="B233" s="1" t="s">
        <v>773</v>
      </c>
      <c r="C233" s="1" t="s">
        <v>77</v>
      </c>
      <c r="D233" s="1" t="s">
        <v>78</v>
      </c>
      <c r="E233" s="2" t="s">
        <v>2130</v>
      </c>
      <c r="F233" s="2" t="s">
        <v>1911</v>
      </c>
      <c r="G233" s="6">
        <v>3980</v>
      </c>
      <c r="H233" s="8">
        <f t="shared" si="8"/>
        <v>3431.0344827586209</v>
      </c>
      <c r="I233" s="2">
        <v>16</v>
      </c>
      <c r="J233" s="2">
        <f t="shared" si="7"/>
        <v>0.6811457286432161</v>
      </c>
      <c r="K233" t="s">
        <v>774</v>
      </c>
      <c r="L233">
        <v>5</v>
      </c>
      <c r="M233">
        <v>1094</v>
      </c>
      <c r="N233">
        <v>1094</v>
      </c>
      <c r="O233">
        <v>0</v>
      </c>
      <c r="P233">
        <v>5470</v>
      </c>
      <c r="Q233">
        <v>5</v>
      </c>
      <c r="R233">
        <v>5470</v>
      </c>
      <c r="S233" t="s">
        <v>24</v>
      </c>
      <c r="T233" t="s">
        <v>24</v>
      </c>
      <c r="U233" t="s">
        <v>24</v>
      </c>
      <c r="V233" t="s">
        <v>25</v>
      </c>
      <c r="W233" t="s">
        <v>774</v>
      </c>
      <c r="X233" t="s">
        <v>26</v>
      </c>
      <c r="Y233" t="s">
        <v>24</v>
      </c>
    </row>
    <row r="234" spans="1:25" x14ac:dyDescent="0.35">
      <c r="A234" s="1" t="s">
        <v>775</v>
      </c>
      <c r="B234" s="1" t="s">
        <v>776</v>
      </c>
      <c r="C234" s="1" t="s">
        <v>77</v>
      </c>
      <c r="D234" s="1" t="s">
        <v>78</v>
      </c>
      <c r="E234" s="2" t="s">
        <v>2131</v>
      </c>
      <c r="F234" s="2" t="s">
        <v>1911</v>
      </c>
      <c r="G234" s="6">
        <v>1580</v>
      </c>
      <c r="H234" s="8">
        <f t="shared" si="8"/>
        <v>1362.0689655172414</v>
      </c>
      <c r="I234" s="2">
        <v>16</v>
      </c>
      <c r="J234" s="2">
        <f t="shared" si="7"/>
        <v>0.69898734177215194</v>
      </c>
      <c r="K234" t="s">
        <v>777</v>
      </c>
      <c r="L234">
        <v>1</v>
      </c>
      <c r="M234">
        <v>410</v>
      </c>
      <c r="N234">
        <v>410</v>
      </c>
      <c r="O234">
        <v>0</v>
      </c>
      <c r="P234">
        <v>410</v>
      </c>
      <c r="Q234">
        <v>1</v>
      </c>
      <c r="R234">
        <v>410</v>
      </c>
      <c r="S234" t="s">
        <v>24</v>
      </c>
      <c r="T234" t="s">
        <v>24</v>
      </c>
      <c r="U234" t="s">
        <v>24</v>
      </c>
      <c r="V234" t="s">
        <v>25</v>
      </c>
      <c r="W234" t="s">
        <v>777</v>
      </c>
      <c r="X234" t="s">
        <v>26</v>
      </c>
      <c r="Y234" t="s">
        <v>24</v>
      </c>
    </row>
    <row r="235" spans="1:25" x14ac:dyDescent="0.35">
      <c r="A235" s="1" t="s">
        <v>778</v>
      </c>
      <c r="B235" s="1" t="s">
        <v>779</v>
      </c>
      <c r="C235" s="1" t="s">
        <v>77</v>
      </c>
      <c r="D235" s="1" t="s">
        <v>78</v>
      </c>
      <c r="E235" s="2" t="s">
        <v>2132</v>
      </c>
      <c r="F235" s="2" t="s">
        <v>1911</v>
      </c>
      <c r="G235" s="6">
        <v>1580</v>
      </c>
      <c r="H235" s="8">
        <f t="shared" si="8"/>
        <v>1362.0689655172414</v>
      </c>
      <c r="I235" s="2">
        <v>16</v>
      </c>
      <c r="J235" s="2">
        <f t="shared" si="7"/>
        <v>0.69898734177215194</v>
      </c>
      <c r="K235" t="s">
        <v>780</v>
      </c>
      <c r="L235">
        <v>2</v>
      </c>
      <c r="M235">
        <v>410</v>
      </c>
      <c r="N235">
        <v>410</v>
      </c>
      <c r="O235">
        <v>0</v>
      </c>
      <c r="P235">
        <v>820</v>
      </c>
      <c r="Q235">
        <v>2</v>
      </c>
      <c r="R235">
        <v>820</v>
      </c>
      <c r="S235" t="s">
        <v>24</v>
      </c>
      <c r="T235" t="s">
        <v>24</v>
      </c>
      <c r="U235" t="s">
        <v>24</v>
      </c>
      <c r="V235" t="s">
        <v>25</v>
      </c>
      <c r="W235" t="s">
        <v>780</v>
      </c>
      <c r="X235" t="s">
        <v>26</v>
      </c>
      <c r="Y235" t="s">
        <v>24</v>
      </c>
    </row>
    <row r="236" spans="1:25" x14ac:dyDescent="0.35">
      <c r="A236" s="1" t="s">
        <v>781</v>
      </c>
      <c r="B236" s="1" t="s">
        <v>782</v>
      </c>
      <c r="C236" s="1" t="s">
        <v>696</v>
      </c>
      <c r="D236" s="1" t="s">
        <v>697</v>
      </c>
      <c r="E236" s="2" t="s">
        <v>2133</v>
      </c>
      <c r="F236" s="2" t="s">
        <v>2082</v>
      </c>
      <c r="G236" s="6">
        <v>80</v>
      </c>
      <c r="H236" s="8">
        <f t="shared" si="8"/>
        <v>68.965517241379317</v>
      </c>
      <c r="I236" s="2">
        <v>16</v>
      </c>
      <c r="J236" s="2">
        <f t="shared" si="7"/>
        <v>0.69374550000000013</v>
      </c>
      <c r="K236" t="s">
        <v>783</v>
      </c>
      <c r="L236">
        <v>5</v>
      </c>
      <c r="M236">
        <v>21.120999999999999</v>
      </c>
      <c r="N236">
        <v>21.120999999999999</v>
      </c>
      <c r="O236">
        <v>0</v>
      </c>
      <c r="P236">
        <v>105.605</v>
      </c>
      <c r="Q236">
        <v>5</v>
      </c>
      <c r="R236">
        <v>105.61</v>
      </c>
      <c r="S236" t="s">
        <v>24</v>
      </c>
      <c r="T236" t="s">
        <v>24</v>
      </c>
      <c r="U236" t="s">
        <v>24</v>
      </c>
      <c r="V236" t="s">
        <v>25</v>
      </c>
      <c r="W236" t="s">
        <v>783</v>
      </c>
      <c r="X236" t="s">
        <v>26</v>
      </c>
      <c r="Y236" t="s">
        <v>24</v>
      </c>
    </row>
    <row r="237" spans="1:25" x14ac:dyDescent="0.35">
      <c r="A237" s="1" t="s">
        <v>784</v>
      </c>
      <c r="B237" s="1" t="s">
        <v>785</v>
      </c>
      <c r="C237" s="1" t="s">
        <v>492</v>
      </c>
      <c r="D237" s="1" t="s">
        <v>493</v>
      </c>
      <c r="E237" s="2" t="s">
        <v>2134</v>
      </c>
      <c r="F237" s="2" t="s">
        <v>2082</v>
      </c>
      <c r="G237" s="6">
        <v>80</v>
      </c>
      <c r="H237" s="8">
        <f t="shared" si="8"/>
        <v>68.965517241379317</v>
      </c>
      <c r="I237" s="2">
        <v>16</v>
      </c>
      <c r="J237" s="2">
        <f t="shared" si="7"/>
        <v>0.67280460000000009</v>
      </c>
      <c r="K237" t="s">
        <v>786</v>
      </c>
      <c r="L237">
        <v>20</v>
      </c>
      <c r="M237">
        <v>22.565200000000001</v>
      </c>
      <c r="N237">
        <v>22.565200000000001</v>
      </c>
      <c r="O237">
        <v>0</v>
      </c>
      <c r="P237">
        <v>451.30399999999997</v>
      </c>
      <c r="Q237">
        <v>20</v>
      </c>
      <c r="R237">
        <v>451.3</v>
      </c>
      <c r="S237" t="s">
        <v>24</v>
      </c>
      <c r="T237" t="s">
        <v>24</v>
      </c>
      <c r="U237" t="s">
        <v>24</v>
      </c>
      <c r="V237" t="s">
        <v>25</v>
      </c>
      <c r="W237" t="s">
        <v>786</v>
      </c>
      <c r="X237" t="s">
        <v>26</v>
      </c>
      <c r="Y237" t="s">
        <v>24</v>
      </c>
    </row>
    <row r="238" spans="1:25" x14ac:dyDescent="0.35">
      <c r="A238" s="1" t="s">
        <v>787</v>
      </c>
      <c r="B238" s="1" t="s">
        <v>788</v>
      </c>
      <c r="C238" s="1" t="s">
        <v>295</v>
      </c>
      <c r="D238" s="1" t="s">
        <v>296</v>
      </c>
      <c r="E238" s="2" t="s">
        <v>2135</v>
      </c>
      <c r="F238" s="2" t="s">
        <v>1975</v>
      </c>
      <c r="G238" s="6">
        <v>780</v>
      </c>
      <c r="H238" s="8">
        <f t="shared" si="8"/>
        <v>672.41379310344837</v>
      </c>
      <c r="I238" s="2">
        <v>16</v>
      </c>
      <c r="J238" s="2">
        <f t="shared" si="7"/>
        <v>0.65159043076923084</v>
      </c>
      <c r="K238" t="s">
        <v>789</v>
      </c>
      <c r="L238">
        <v>4</v>
      </c>
      <c r="M238">
        <v>234.27539999999999</v>
      </c>
      <c r="N238">
        <v>234.27539999999999</v>
      </c>
      <c r="O238">
        <v>0</v>
      </c>
      <c r="P238">
        <v>937.10159999999996</v>
      </c>
      <c r="Q238">
        <v>4</v>
      </c>
      <c r="R238">
        <v>937.1</v>
      </c>
      <c r="S238" t="s">
        <v>24</v>
      </c>
      <c r="T238" t="s">
        <v>24</v>
      </c>
      <c r="U238" t="s">
        <v>24</v>
      </c>
      <c r="V238" t="s">
        <v>25</v>
      </c>
      <c r="W238" t="s">
        <v>789</v>
      </c>
      <c r="X238" t="s">
        <v>26</v>
      </c>
      <c r="Y238" t="s">
        <v>24</v>
      </c>
    </row>
    <row r="239" spans="1:25" x14ac:dyDescent="0.35">
      <c r="A239" s="1" t="s">
        <v>790</v>
      </c>
      <c r="B239" s="1" t="s">
        <v>791</v>
      </c>
      <c r="C239" s="1" t="s">
        <v>254</v>
      </c>
      <c r="D239" s="1" t="s">
        <v>255</v>
      </c>
      <c r="E239" s="2" t="s">
        <v>2136</v>
      </c>
      <c r="F239" s="2" t="s">
        <v>1911</v>
      </c>
      <c r="G239" s="6">
        <v>180</v>
      </c>
      <c r="H239" s="8">
        <f t="shared" si="8"/>
        <v>155.17241379310346</v>
      </c>
      <c r="I239" s="2">
        <v>16</v>
      </c>
      <c r="J239" s="2">
        <f t="shared" si="7"/>
        <v>0.64620000000000011</v>
      </c>
      <c r="K239" t="s">
        <v>792</v>
      </c>
      <c r="L239">
        <v>1</v>
      </c>
      <c r="M239">
        <v>54.9</v>
      </c>
      <c r="N239">
        <v>54.9</v>
      </c>
      <c r="O239">
        <v>0</v>
      </c>
      <c r="P239">
        <v>54.9</v>
      </c>
      <c r="Q239">
        <v>1</v>
      </c>
      <c r="R239">
        <v>54.9</v>
      </c>
      <c r="S239" t="s">
        <v>24</v>
      </c>
      <c r="T239" t="s">
        <v>24</v>
      </c>
      <c r="U239" t="s">
        <v>24</v>
      </c>
      <c r="V239" t="s">
        <v>25</v>
      </c>
      <c r="W239" t="s">
        <v>792</v>
      </c>
      <c r="X239" t="s">
        <v>26</v>
      </c>
      <c r="Y239" t="s">
        <v>24</v>
      </c>
    </row>
    <row r="240" spans="1:25" x14ac:dyDescent="0.35">
      <c r="A240" s="1" t="s">
        <v>793</v>
      </c>
      <c r="B240" s="1" t="s">
        <v>794</v>
      </c>
      <c r="C240" s="1" t="s">
        <v>295</v>
      </c>
      <c r="D240" s="1" t="s">
        <v>296</v>
      </c>
      <c r="E240" s="2" t="s">
        <v>2137</v>
      </c>
      <c r="F240" s="2" t="s">
        <v>1975</v>
      </c>
      <c r="G240" s="6">
        <v>500</v>
      </c>
      <c r="H240" s="8">
        <f t="shared" si="8"/>
        <v>431.0344827586207</v>
      </c>
      <c r="I240" s="2">
        <v>16</v>
      </c>
      <c r="J240" s="2">
        <f t="shared" si="7"/>
        <v>0.58119359999999998</v>
      </c>
      <c r="K240" t="s">
        <v>795</v>
      </c>
      <c r="L240">
        <v>3</v>
      </c>
      <c r="M240">
        <v>180.52</v>
      </c>
      <c r="N240">
        <v>180.52</v>
      </c>
      <c r="O240">
        <v>0</v>
      </c>
      <c r="P240">
        <v>541.55999999999995</v>
      </c>
      <c r="Q240">
        <v>3</v>
      </c>
      <c r="R240">
        <v>541.55999999999995</v>
      </c>
      <c r="S240" t="s">
        <v>24</v>
      </c>
      <c r="T240" t="s">
        <v>24</v>
      </c>
      <c r="U240" t="s">
        <v>24</v>
      </c>
      <c r="V240" t="s">
        <v>25</v>
      </c>
      <c r="W240" t="s">
        <v>795</v>
      </c>
      <c r="X240" t="s">
        <v>26</v>
      </c>
      <c r="Y240" t="s">
        <v>24</v>
      </c>
    </row>
    <row r="241" spans="1:25" x14ac:dyDescent="0.35">
      <c r="A241" s="1" t="s">
        <v>796</v>
      </c>
      <c r="B241" s="1" t="s">
        <v>797</v>
      </c>
      <c r="C241" s="1" t="s">
        <v>295</v>
      </c>
      <c r="D241" s="1" t="s">
        <v>296</v>
      </c>
      <c r="E241" s="2" t="s">
        <v>2138</v>
      </c>
      <c r="F241" s="2" t="s">
        <v>1975</v>
      </c>
      <c r="G241" s="6">
        <v>500</v>
      </c>
      <c r="H241" s="8">
        <f t="shared" si="8"/>
        <v>431.0344827586207</v>
      </c>
      <c r="I241" s="2">
        <v>16</v>
      </c>
      <c r="J241" s="2">
        <f t="shared" si="7"/>
        <v>0.70120720000000003</v>
      </c>
      <c r="K241" t="s">
        <v>798</v>
      </c>
      <c r="L241">
        <v>3</v>
      </c>
      <c r="M241">
        <v>128.79</v>
      </c>
      <c r="N241">
        <v>128.79</v>
      </c>
      <c r="O241">
        <v>0</v>
      </c>
      <c r="P241">
        <v>386.37</v>
      </c>
      <c r="Q241">
        <v>3</v>
      </c>
      <c r="R241">
        <v>386.37</v>
      </c>
      <c r="S241" t="s">
        <v>24</v>
      </c>
      <c r="T241" t="s">
        <v>24</v>
      </c>
      <c r="U241" t="s">
        <v>24</v>
      </c>
      <c r="V241" t="s">
        <v>25</v>
      </c>
      <c r="W241" t="s">
        <v>798</v>
      </c>
      <c r="X241" t="s">
        <v>26</v>
      </c>
      <c r="Y241" t="s">
        <v>24</v>
      </c>
    </row>
    <row r="242" spans="1:25" x14ac:dyDescent="0.35">
      <c r="A242" s="1" t="s">
        <v>799</v>
      </c>
      <c r="B242" s="1" t="s">
        <v>800</v>
      </c>
      <c r="C242" s="1" t="s">
        <v>295</v>
      </c>
      <c r="D242" s="1" t="s">
        <v>296</v>
      </c>
      <c r="E242" s="2" t="s">
        <v>2139</v>
      </c>
      <c r="F242" s="2" t="s">
        <v>1975</v>
      </c>
      <c r="G242" s="6">
        <v>780</v>
      </c>
      <c r="H242" s="8">
        <f t="shared" si="8"/>
        <v>722.22222222222217</v>
      </c>
      <c r="I242" s="2">
        <v>8</v>
      </c>
      <c r="J242" s="2">
        <f t="shared" si="7"/>
        <v>0.82167538461538459</v>
      </c>
      <c r="K242" t="s">
        <v>801</v>
      </c>
      <c r="L242">
        <v>2</v>
      </c>
      <c r="M242">
        <v>128.79</v>
      </c>
      <c r="N242">
        <v>128.79</v>
      </c>
      <c r="O242">
        <v>0</v>
      </c>
      <c r="P242">
        <v>257.58</v>
      </c>
      <c r="Q242">
        <v>2</v>
      </c>
      <c r="R242">
        <v>257.58</v>
      </c>
      <c r="S242" t="s">
        <v>24</v>
      </c>
      <c r="T242" t="s">
        <v>24</v>
      </c>
      <c r="U242" t="s">
        <v>24</v>
      </c>
      <c r="V242" t="s">
        <v>25</v>
      </c>
      <c r="W242" t="s">
        <v>801</v>
      </c>
      <c r="X242" t="s">
        <v>26</v>
      </c>
      <c r="Y242" t="s">
        <v>24</v>
      </c>
    </row>
    <row r="243" spans="1:25" x14ac:dyDescent="0.35">
      <c r="A243" s="1" t="s">
        <v>802</v>
      </c>
      <c r="B243" s="1" t="s">
        <v>803</v>
      </c>
      <c r="C243" s="1" t="s">
        <v>295</v>
      </c>
      <c r="D243" s="1" t="s">
        <v>296</v>
      </c>
      <c r="E243" s="2" t="s">
        <v>2140</v>
      </c>
      <c r="F243" s="2" t="s">
        <v>1975</v>
      </c>
      <c r="G243" s="6">
        <v>780</v>
      </c>
      <c r="H243" s="8">
        <f t="shared" si="8"/>
        <v>672.41379310344837</v>
      </c>
      <c r="I243" s="2">
        <v>16</v>
      </c>
      <c r="J243" s="2">
        <f t="shared" si="7"/>
        <v>0.73153435897435903</v>
      </c>
      <c r="K243" t="s">
        <v>804</v>
      </c>
      <c r="L243">
        <v>6</v>
      </c>
      <c r="M243">
        <v>180.52</v>
      </c>
      <c r="N243">
        <v>180.52</v>
      </c>
      <c r="O243">
        <v>0</v>
      </c>
      <c r="P243">
        <v>1083.1199999999999</v>
      </c>
      <c r="Q243">
        <v>6</v>
      </c>
      <c r="R243">
        <v>1083.1199999999999</v>
      </c>
      <c r="S243" t="s">
        <v>24</v>
      </c>
      <c r="T243" t="s">
        <v>24</v>
      </c>
      <c r="U243" t="s">
        <v>24</v>
      </c>
      <c r="V243" t="s">
        <v>25</v>
      </c>
      <c r="W243" t="s">
        <v>804</v>
      </c>
      <c r="X243" t="s">
        <v>26</v>
      </c>
      <c r="Y243" t="s">
        <v>24</v>
      </c>
    </row>
    <row r="244" spans="1:25" x14ac:dyDescent="0.35">
      <c r="A244" s="1" t="s">
        <v>805</v>
      </c>
      <c r="B244" s="1" t="s">
        <v>806</v>
      </c>
      <c r="C244" s="1" t="s">
        <v>807</v>
      </c>
      <c r="D244" s="1" t="s">
        <v>808</v>
      </c>
      <c r="E244" s="2" t="s">
        <v>2141</v>
      </c>
      <c r="F244" s="2" t="s">
        <v>1911</v>
      </c>
      <c r="G244" s="6">
        <v>340</v>
      </c>
      <c r="H244" s="8">
        <f t="shared" si="8"/>
        <v>293.10344827586209</v>
      </c>
      <c r="I244" s="2">
        <v>16</v>
      </c>
      <c r="J244" s="2">
        <f t="shared" si="7"/>
        <v>0.69805882352941184</v>
      </c>
      <c r="K244" t="s">
        <v>809</v>
      </c>
      <c r="L244">
        <v>1</v>
      </c>
      <c r="M244">
        <v>88.5</v>
      </c>
      <c r="N244">
        <v>88.5</v>
      </c>
      <c r="O244">
        <v>0</v>
      </c>
      <c r="P244">
        <v>88.5</v>
      </c>
      <c r="Q244">
        <v>1</v>
      </c>
      <c r="R244">
        <v>88.5</v>
      </c>
      <c r="S244" t="s">
        <v>24</v>
      </c>
      <c r="T244" t="s">
        <v>24</v>
      </c>
      <c r="U244" t="s">
        <v>24</v>
      </c>
      <c r="V244" t="s">
        <v>25</v>
      </c>
      <c r="W244" t="s">
        <v>809</v>
      </c>
      <c r="X244" t="s">
        <v>26</v>
      </c>
      <c r="Y244" t="s">
        <v>24</v>
      </c>
    </row>
    <row r="245" spans="1:25" x14ac:dyDescent="0.35">
      <c r="A245" s="1" t="s">
        <v>810</v>
      </c>
      <c r="B245" s="1" t="s">
        <v>811</v>
      </c>
      <c r="C245" s="1" t="s">
        <v>295</v>
      </c>
      <c r="D245" s="1" t="s">
        <v>296</v>
      </c>
      <c r="E245" s="2" t="s">
        <v>2142</v>
      </c>
      <c r="F245" s="2" t="s">
        <v>1975</v>
      </c>
      <c r="G245" s="6">
        <v>721.5</v>
      </c>
      <c r="H245" s="8">
        <f t="shared" si="8"/>
        <v>621.98275862068965</v>
      </c>
      <c r="I245" s="2">
        <v>16</v>
      </c>
      <c r="J245" s="2">
        <f t="shared" si="7"/>
        <v>0.70976687456687459</v>
      </c>
      <c r="K245" t="s">
        <v>812</v>
      </c>
      <c r="L245">
        <v>2</v>
      </c>
      <c r="M245">
        <v>180.52</v>
      </c>
      <c r="N245">
        <v>180.52</v>
      </c>
      <c r="O245">
        <v>0</v>
      </c>
      <c r="P245">
        <v>361.04</v>
      </c>
      <c r="Q245">
        <v>2</v>
      </c>
      <c r="R245">
        <v>361.04</v>
      </c>
      <c r="S245" t="s">
        <v>24</v>
      </c>
      <c r="T245" t="s">
        <v>24</v>
      </c>
      <c r="U245" t="s">
        <v>24</v>
      </c>
      <c r="V245" t="s">
        <v>25</v>
      </c>
      <c r="W245" t="s">
        <v>812</v>
      </c>
      <c r="X245" t="s">
        <v>26</v>
      </c>
      <c r="Y245" t="s">
        <v>24</v>
      </c>
    </row>
    <row r="246" spans="1:25" x14ac:dyDescent="0.35">
      <c r="A246" s="1" t="s">
        <v>813</v>
      </c>
      <c r="B246" s="1" t="s">
        <v>814</v>
      </c>
      <c r="C246" s="1" t="s">
        <v>691</v>
      </c>
      <c r="D246" s="1" t="s">
        <v>692</v>
      </c>
      <c r="E246" s="2" t="s">
        <v>2143</v>
      </c>
      <c r="F246" s="2" t="s">
        <v>1975</v>
      </c>
      <c r="G246" s="6">
        <v>780</v>
      </c>
      <c r="H246" s="8">
        <f t="shared" si="8"/>
        <v>672.41379310344837</v>
      </c>
      <c r="I246" s="2">
        <v>16</v>
      </c>
      <c r="J246" s="2">
        <f t="shared" si="7"/>
        <v>0.61615897435897438</v>
      </c>
      <c r="K246" t="s">
        <v>815</v>
      </c>
      <c r="L246">
        <v>1</v>
      </c>
      <c r="M246">
        <v>258.10000000000002</v>
      </c>
      <c r="N246">
        <v>258.10000000000002</v>
      </c>
      <c r="O246">
        <v>0</v>
      </c>
      <c r="P246">
        <v>258.10000000000002</v>
      </c>
      <c r="Q246">
        <v>1</v>
      </c>
      <c r="R246">
        <v>258.10000000000002</v>
      </c>
      <c r="S246" t="s">
        <v>24</v>
      </c>
      <c r="T246" t="s">
        <v>24</v>
      </c>
      <c r="U246" t="s">
        <v>24</v>
      </c>
      <c r="V246" t="s">
        <v>25</v>
      </c>
      <c r="W246" t="s">
        <v>815</v>
      </c>
      <c r="X246" t="s">
        <v>26</v>
      </c>
      <c r="Y246" t="s">
        <v>24</v>
      </c>
    </row>
    <row r="247" spans="1:25" x14ac:dyDescent="0.35">
      <c r="A247" s="1" t="s">
        <v>816</v>
      </c>
      <c r="B247" s="1" t="s">
        <v>817</v>
      </c>
      <c r="C247" s="1" t="s">
        <v>295</v>
      </c>
      <c r="D247" s="1" t="s">
        <v>296</v>
      </c>
      <c r="E247" s="2" t="s">
        <v>2144</v>
      </c>
      <c r="F247" s="2" t="s">
        <v>1975</v>
      </c>
      <c r="G247" s="6">
        <v>780</v>
      </c>
      <c r="H247" s="8">
        <f t="shared" si="8"/>
        <v>672.41379310344837</v>
      </c>
      <c r="I247" s="2">
        <v>16</v>
      </c>
      <c r="J247" s="2">
        <f t="shared" si="7"/>
        <v>0.73153435897435903</v>
      </c>
      <c r="K247" t="s">
        <v>818</v>
      </c>
      <c r="L247">
        <v>7</v>
      </c>
      <c r="M247">
        <v>180.52</v>
      </c>
      <c r="N247">
        <v>180.52</v>
      </c>
      <c r="O247">
        <v>0</v>
      </c>
      <c r="P247">
        <v>1263.6400000000001</v>
      </c>
      <c r="Q247">
        <v>7</v>
      </c>
      <c r="R247">
        <v>1263.6400000000001</v>
      </c>
      <c r="S247" t="s">
        <v>24</v>
      </c>
      <c r="T247" t="s">
        <v>24</v>
      </c>
      <c r="U247" t="s">
        <v>24</v>
      </c>
      <c r="V247" t="s">
        <v>25</v>
      </c>
      <c r="W247" t="s">
        <v>818</v>
      </c>
      <c r="X247" t="s">
        <v>26</v>
      </c>
      <c r="Y247" t="s">
        <v>24</v>
      </c>
    </row>
    <row r="248" spans="1:25" x14ac:dyDescent="0.35">
      <c r="A248" s="1" t="s">
        <v>819</v>
      </c>
      <c r="B248" s="1" t="s">
        <v>820</v>
      </c>
      <c r="C248" s="1" t="s">
        <v>254</v>
      </c>
      <c r="D248" s="1" t="s">
        <v>255</v>
      </c>
      <c r="E248" s="2" t="s">
        <v>2145</v>
      </c>
      <c r="F248" s="2" t="s">
        <v>1911</v>
      </c>
      <c r="G248" s="6">
        <v>721.5</v>
      </c>
      <c r="H248" s="8">
        <f t="shared" si="8"/>
        <v>621.98275862068965</v>
      </c>
      <c r="I248" s="2">
        <v>16</v>
      </c>
      <c r="J248" s="2">
        <f t="shared" si="7"/>
        <v>0.80907830907830913</v>
      </c>
      <c r="K248" t="s">
        <v>821</v>
      </c>
      <c r="L248">
        <v>1</v>
      </c>
      <c r="M248">
        <v>118.75</v>
      </c>
      <c r="N248">
        <v>118.75</v>
      </c>
      <c r="O248">
        <v>0</v>
      </c>
      <c r="P248">
        <v>118.75</v>
      </c>
      <c r="Q248">
        <v>1</v>
      </c>
      <c r="R248">
        <v>118.75</v>
      </c>
      <c r="S248" t="s">
        <v>24</v>
      </c>
      <c r="T248" t="s">
        <v>24</v>
      </c>
      <c r="U248" t="s">
        <v>24</v>
      </c>
      <c r="V248" t="s">
        <v>25</v>
      </c>
      <c r="W248" t="s">
        <v>821</v>
      </c>
      <c r="X248" t="s">
        <v>26</v>
      </c>
      <c r="Y248" t="s">
        <v>24</v>
      </c>
    </row>
    <row r="249" spans="1:25" x14ac:dyDescent="0.35">
      <c r="A249" s="1" t="s">
        <v>822</v>
      </c>
      <c r="B249" s="1" t="s">
        <v>823</v>
      </c>
      <c r="C249" s="1" t="s">
        <v>824</v>
      </c>
      <c r="D249" s="1" t="s">
        <v>825</v>
      </c>
      <c r="E249" s="2" t="s">
        <v>2146</v>
      </c>
      <c r="F249" s="2" t="s">
        <v>1911</v>
      </c>
      <c r="G249" s="6">
        <v>500</v>
      </c>
      <c r="H249" s="8">
        <f t="shared" si="8"/>
        <v>431.0344827586207</v>
      </c>
      <c r="I249" s="2">
        <v>16</v>
      </c>
      <c r="J249" s="2">
        <f t="shared" si="7"/>
        <v>0.75175999999999998</v>
      </c>
      <c r="K249" t="s">
        <v>826</v>
      </c>
      <c r="L249">
        <v>2</v>
      </c>
      <c r="M249">
        <v>107</v>
      </c>
      <c r="N249">
        <v>107</v>
      </c>
      <c r="O249">
        <v>0</v>
      </c>
      <c r="P249">
        <v>214</v>
      </c>
      <c r="Q249">
        <v>2</v>
      </c>
      <c r="R249">
        <v>214</v>
      </c>
      <c r="S249" t="s">
        <v>24</v>
      </c>
      <c r="T249" t="s">
        <v>24</v>
      </c>
      <c r="U249" t="s">
        <v>24</v>
      </c>
      <c r="V249" t="s">
        <v>25</v>
      </c>
      <c r="W249" t="s">
        <v>826</v>
      </c>
      <c r="X249" t="s">
        <v>26</v>
      </c>
      <c r="Y249" t="s">
        <v>24</v>
      </c>
    </row>
    <row r="250" spans="1:25" x14ac:dyDescent="0.35">
      <c r="A250" s="1" t="s">
        <v>827</v>
      </c>
      <c r="B250" s="1" t="s">
        <v>828</v>
      </c>
      <c r="C250" s="1" t="s">
        <v>387</v>
      </c>
      <c r="D250" s="1" t="s">
        <v>388</v>
      </c>
      <c r="E250" s="2" t="s">
        <v>2147</v>
      </c>
      <c r="F250" s="2" t="s">
        <v>1911</v>
      </c>
      <c r="G250" s="6">
        <v>4800</v>
      </c>
      <c r="H250" s="8">
        <f t="shared" si="8"/>
        <v>4137.9310344827591</v>
      </c>
      <c r="I250" s="2">
        <v>16</v>
      </c>
      <c r="J250" s="2">
        <f t="shared" si="7"/>
        <v>0.64647066666666664</v>
      </c>
      <c r="K250" t="s">
        <v>829</v>
      </c>
      <c r="L250">
        <v>1</v>
      </c>
      <c r="M250">
        <v>1462.88</v>
      </c>
      <c r="N250">
        <v>1462.88</v>
      </c>
      <c r="O250">
        <v>0</v>
      </c>
      <c r="P250">
        <v>1462.88</v>
      </c>
      <c r="Q250">
        <v>1</v>
      </c>
      <c r="R250">
        <v>1462.88</v>
      </c>
      <c r="S250" t="s">
        <v>24</v>
      </c>
      <c r="T250" t="s">
        <v>24</v>
      </c>
      <c r="U250" t="s">
        <v>24</v>
      </c>
      <c r="V250" t="s">
        <v>25</v>
      </c>
      <c r="W250" t="s">
        <v>829</v>
      </c>
      <c r="X250" t="s">
        <v>26</v>
      </c>
      <c r="Y250" t="s">
        <v>24</v>
      </c>
    </row>
    <row r="251" spans="1:25" x14ac:dyDescent="0.35">
      <c r="A251" s="1" t="s">
        <v>830</v>
      </c>
      <c r="B251" s="1" t="s">
        <v>831</v>
      </c>
      <c r="C251" s="1" t="s">
        <v>34</v>
      </c>
      <c r="D251" s="1" t="s">
        <v>35</v>
      </c>
      <c r="E251" s="2" t="s">
        <v>2148</v>
      </c>
      <c r="F251" s="2" t="s">
        <v>1975</v>
      </c>
      <c r="G251" s="6">
        <v>499.5</v>
      </c>
      <c r="H251" s="8">
        <f t="shared" si="8"/>
        <v>430.60344827586209</v>
      </c>
      <c r="I251" s="2">
        <v>16</v>
      </c>
      <c r="J251" s="2">
        <f t="shared" si="7"/>
        <v>0.82775335335335343</v>
      </c>
      <c r="K251" t="s">
        <v>832</v>
      </c>
      <c r="L251">
        <v>1</v>
      </c>
      <c r="M251">
        <v>74.17</v>
      </c>
      <c r="N251">
        <v>74.17</v>
      </c>
      <c r="O251">
        <v>0</v>
      </c>
      <c r="P251">
        <v>74.17</v>
      </c>
      <c r="Q251">
        <v>1</v>
      </c>
      <c r="R251">
        <v>74.17</v>
      </c>
      <c r="S251" t="s">
        <v>24</v>
      </c>
      <c r="T251" t="s">
        <v>24</v>
      </c>
      <c r="U251" t="s">
        <v>24</v>
      </c>
      <c r="V251" t="s">
        <v>25</v>
      </c>
      <c r="W251" t="s">
        <v>832</v>
      </c>
      <c r="X251" t="s">
        <v>26</v>
      </c>
      <c r="Y251" t="s">
        <v>24</v>
      </c>
    </row>
    <row r="252" spans="1:25" x14ac:dyDescent="0.35">
      <c r="A252" s="1" t="s">
        <v>833</v>
      </c>
      <c r="B252" s="1" t="s">
        <v>834</v>
      </c>
      <c r="C252" s="1" t="s">
        <v>633</v>
      </c>
      <c r="D252" s="1" t="s">
        <v>634</v>
      </c>
      <c r="E252" s="2" t="s">
        <v>2149</v>
      </c>
      <c r="F252" s="2" t="s">
        <v>2105</v>
      </c>
      <c r="G252" s="6">
        <v>100</v>
      </c>
      <c r="H252" s="8">
        <f t="shared" si="8"/>
        <v>86.206896551724142</v>
      </c>
      <c r="I252" s="2">
        <v>16</v>
      </c>
      <c r="J252" s="2">
        <f t="shared" si="7"/>
        <v>0.68378399999999995</v>
      </c>
      <c r="K252" t="s">
        <v>835</v>
      </c>
      <c r="L252">
        <v>3</v>
      </c>
      <c r="M252">
        <v>27.26</v>
      </c>
      <c r="N252">
        <v>27.26</v>
      </c>
      <c r="O252">
        <v>0</v>
      </c>
      <c r="P252">
        <v>81.78</v>
      </c>
      <c r="Q252">
        <v>3</v>
      </c>
      <c r="R252">
        <v>81.78</v>
      </c>
      <c r="S252" t="s">
        <v>24</v>
      </c>
      <c r="T252" t="s">
        <v>24</v>
      </c>
      <c r="U252" t="s">
        <v>24</v>
      </c>
      <c r="V252" t="s">
        <v>25</v>
      </c>
      <c r="W252" t="s">
        <v>835</v>
      </c>
      <c r="X252" t="s">
        <v>26</v>
      </c>
      <c r="Y252" t="s">
        <v>24</v>
      </c>
    </row>
    <row r="253" spans="1:25" x14ac:dyDescent="0.35">
      <c r="A253" s="1" t="s">
        <v>836</v>
      </c>
      <c r="B253" s="1" t="s">
        <v>837</v>
      </c>
      <c r="C253" s="1" t="s">
        <v>239</v>
      </c>
      <c r="D253" s="1" t="s">
        <v>240</v>
      </c>
      <c r="E253" s="2" t="s">
        <v>2150</v>
      </c>
      <c r="F253" s="2" t="s">
        <v>2061</v>
      </c>
      <c r="G253" s="6">
        <v>200</v>
      </c>
      <c r="H253" s="8">
        <f t="shared" si="8"/>
        <v>200</v>
      </c>
      <c r="I253" s="2">
        <v>0</v>
      </c>
      <c r="J253" s="2">
        <f t="shared" si="7"/>
        <v>0.69290000000000007</v>
      </c>
      <c r="K253" t="s">
        <v>838</v>
      </c>
      <c r="L253">
        <v>1</v>
      </c>
      <c r="M253">
        <v>61.42</v>
      </c>
      <c r="N253">
        <v>61.42</v>
      </c>
      <c r="O253">
        <v>0</v>
      </c>
      <c r="P253">
        <v>61.42</v>
      </c>
      <c r="Q253">
        <v>1</v>
      </c>
      <c r="R253">
        <v>61.42</v>
      </c>
      <c r="S253" t="s">
        <v>24</v>
      </c>
      <c r="T253" t="s">
        <v>24</v>
      </c>
      <c r="U253" t="s">
        <v>24</v>
      </c>
      <c r="V253" t="s">
        <v>25</v>
      </c>
      <c r="W253" t="s">
        <v>838</v>
      </c>
      <c r="X253" t="s">
        <v>26</v>
      </c>
      <c r="Y253" t="s">
        <v>24</v>
      </c>
    </row>
    <row r="254" spans="1:25" x14ac:dyDescent="0.35">
      <c r="A254" s="1" t="s">
        <v>839</v>
      </c>
      <c r="B254" s="1" t="s">
        <v>840</v>
      </c>
      <c r="C254" s="1" t="s">
        <v>807</v>
      </c>
      <c r="D254" s="1" t="s">
        <v>808</v>
      </c>
      <c r="E254" s="2" t="s">
        <v>2151</v>
      </c>
      <c r="F254" s="2" t="s">
        <v>1911</v>
      </c>
      <c r="G254" s="6">
        <v>700</v>
      </c>
      <c r="H254" s="8">
        <f t="shared" si="8"/>
        <v>603.44827586206895</v>
      </c>
      <c r="I254" s="2">
        <v>16</v>
      </c>
      <c r="J254" s="2">
        <f t="shared" si="7"/>
        <v>0.70600926857142854</v>
      </c>
      <c r="K254" t="s">
        <v>841</v>
      </c>
      <c r="L254">
        <v>1</v>
      </c>
      <c r="M254">
        <v>177.40819999999999</v>
      </c>
      <c r="N254">
        <v>177.40819999999999</v>
      </c>
      <c r="O254">
        <v>0</v>
      </c>
      <c r="P254">
        <v>177.40819999999999</v>
      </c>
      <c r="Q254">
        <v>1</v>
      </c>
      <c r="R254">
        <v>177.41</v>
      </c>
      <c r="S254" t="s">
        <v>24</v>
      </c>
      <c r="T254" t="s">
        <v>24</v>
      </c>
      <c r="U254" t="s">
        <v>24</v>
      </c>
      <c r="V254" t="s">
        <v>25</v>
      </c>
      <c r="W254" t="s">
        <v>841</v>
      </c>
      <c r="X254" t="s">
        <v>26</v>
      </c>
      <c r="Y254" t="s">
        <v>24</v>
      </c>
    </row>
    <row r="255" spans="1:25" x14ac:dyDescent="0.35">
      <c r="A255" s="1" t="s">
        <v>842</v>
      </c>
      <c r="B255" s="1" t="s">
        <v>843</v>
      </c>
      <c r="C255" s="1" t="s">
        <v>844</v>
      </c>
      <c r="D255" s="1" t="s">
        <v>845</v>
      </c>
      <c r="E255" s="2" t="s">
        <v>2152</v>
      </c>
      <c r="F255" s="2" t="s">
        <v>2105</v>
      </c>
      <c r="G255" s="6">
        <v>200</v>
      </c>
      <c r="H255" s="8">
        <f t="shared" si="8"/>
        <v>172.41379310344828</v>
      </c>
      <c r="I255" s="2">
        <v>16</v>
      </c>
      <c r="J255" s="2">
        <f t="shared" si="7"/>
        <v>0.71373171999999996</v>
      </c>
      <c r="K255" t="s">
        <v>846</v>
      </c>
      <c r="L255">
        <v>2</v>
      </c>
      <c r="M255">
        <v>49.3566</v>
      </c>
      <c r="N255">
        <v>49.356499999999997</v>
      </c>
      <c r="O255">
        <v>0</v>
      </c>
      <c r="P255">
        <v>98.713200000000001</v>
      </c>
      <c r="Q255">
        <v>2</v>
      </c>
      <c r="R255">
        <v>98.71</v>
      </c>
      <c r="S255" t="s">
        <v>24</v>
      </c>
      <c r="T255" t="s">
        <v>24</v>
      </c>
      <c r="U255" t="s">
        <v>24</v>
      </c>
      <c r="V255" t="s">
        <v>25</v>
      </c>
      <c r="W255" t="s">
        <v>846</v>
      </c>
      <c r="X255" t="s">
        <v>26</v>
      </c>
      <c r="Y255" t="s">
        <v>24</v>
      </c>
    </row>
    <row r="256" spans="1:25" x14ac:dyDescent="0.35">
      <c r="A256" s="1" t="s">
        <v>847</v>
      </c>
      <c r="B256" s="1" t="s">
        <v>848</v>
      </c>
      <c r="C256" s="1" t="s">
        <v>844</v>
      </c>
      <c r="D256" s="1" t="s">
        <v>845</v>
      </c>
      <c r="E256" s="2" t="s">
        <v>2153</v>
      </c>
      <c r="F256" s="2" t="s">
        <v>2154</v>
      </c>
      <c r="G256" s="6">
        <v>380</v>
      </c>
      <c r="H256" s="8">
        <f t="shared" si="8"/>
        <v>327.58620689655174</v>
      </c>
      <c r="I256" s="2">
        <v>16</v>
      </c>
      <c r="J256" s="2">
        <f t="shared" si="7"/>
        <v>0.4140778947368422</v>
      </c>
      <c r="K256" t="s">
        <v>849</v>
      </c>
      <c r="L256">
        <v>1</v>
      </c>
      <c r="M256">
        <v>191.94</v>
      </c>
      <c r="N256">
        <v>191.94</v>
      </c>
      <c r="O256">
        <v>0</v>
      </c>
      <c r="P256">
        <v>191.94</v>
      </c>
      <c r="Q256">
        <v>1</v>
      </c>
      <c r="R256">
        <v>191.94</v>
      </c>
      <c r="S256" t="s">
        <v>24</v>
      </c>
      <c r="T256" t="s">
        <v>24</v>
      </c>
      <c r="U256" t="s">
        <v>24</v>
      </c>
      <c r="V256" t="s">
        <v>25</v>
      </c>
      <c r="W256" t="s">
        <v>849</v>
      </c>
      <c r="X256" t="s">
        <v>26</v>
      </c>
      <c r="Y256" t="s">
        <v>24</v>
      </c>
    </row>
    <row r="257" spans="1:25" x14ac:dyDescent="0.35">
      <c r="A257" s="1" t="s">
        <v>850</v>
      </c>
      <c r="B257" s="1" t="s">
        <v>851</v>
      </c>
      <c r="C257" s="1" t="s">
        <v>239</v>
      </c>
      <c r="D257" s="1" t="s">
        <v>240</v>
      </c>
      <c r="E257" s="2" t="s">
        <v>2155</v>
      </c>
      <c r="F257" s="2" t="s">
        <v>2061</v>
      </c>
      <c r="G257" s="6">
        <v>220</v>
      </c>
      <c r="H257" s="8">
        <f t="shared" si="8"/>
        <v>220</v>
      </c>
      <c r="I257" s="2">
        <v>0</v>
      </c>
      <c r="J257" s="2">
        <f t="shared" si="7"/>
        <v>0.39136363636363636</v>
      </c>
      <c r="K257" t="s">
        <v>852</v>
      </c>
      <c r="L257">
        <v>1</v>
      </c>
      <c r="M257">
        <v>133.9</v>
      </c>
      <c r="N257">
        <v>133.9</v>
      </c>
      <c r="O257">
        <v>0</v>
      </c>
      <c r="P257">
        <v>133.9</v>
      </c>
      <c r="Q257">
        <v>1</v>
      </c>
      <c r="R257">
        <v>133.9</v>
      </c>
      <c r="S257" t="s">
        <v>24</v>
      </c>
      <c r="T257" t="s">
        <v>24</v>
      </c>
      <c r="U257" t="s">
        <v>24</v>
      </c>
      <c r="V257" t="s">
        <v>25</v>
      </c>
      <c r="W257" t="s">
        <v>852</v>
      </c>
      <c r="X257" t="s">
        <v>26</v>
      </c>
      <c r="Y257" t="s">
        <v>24</v>
      </c>
    </row>
    <row r="258" spans="1:25" x14ac:dyDescent="0.35">
      <c r="A258" s="1" t="s">
        <v>853</v>
      </c>
      <c r="B258" s="1" t="s">
        <v>854</v>
      </c>
      <c r="C258" s="1" t="s">
        <v>239</v>
      </c>
      <c r="D258" s="1" t="s">
        <v>240</v>
      </c>
      <c r="E258" s="2" t="s">
        <v>2156</v>
      </c>
      <c r="F258" s="2" t="s">
        <v>2061</v>
      </c>
      <c r="G258" s="6">
        <v>580</v>
      </c>
      <c r="H258" s="8">
        <f t="shared" si="8"/>
        <v>500.00000000000006</v>
      </c>
      <c r="I258" s="2">
        <v>16</v>
      </c>
      <c r="J258" s="2">
        <f t="shared" si="7"/>
        <v>0.58208320000000002</v>
      </c>
      <c r="K258" t="s">
        <v>855</v>
      </c>
      <c r="L258">
        <v>2</v>
      </c>
      <c r="M258">
        <v>208.95840000000001</v>
      </c>
      <c r="N258">
        <v>208.95840000000001</v>
      </c>
      <c r="O258">
        <v>0</v>
      </c>
      <c r="P258">
        <v>417.91680000000002</v>
      </c>
      <c r="Q258">
        <v>2</v>
      </c>
      <c r="R258">
        <v>417.92</v>
      </c>
      <c r="S258" t="s">
        <v>24</v>
      </c>
      <c r="T258" t="s">
        <v>24</v>
      </c>
      <c r="U258" t="s">
        <v>24</v>
      </c>
      <c r="V258" t="s">
        <v>25</v>
      </c>
      <c r="W258" t="s">
        <v>855</v>
      </c>
      <c r="X258" t="s">
        <v>26</v>
      </c>
      <c r="Y258" t="s">
        <v>24</v>
      </c>
    </row>
    <row r="259" spans="1:25" x14ac:dyDescent="0.35">
      <c r="A259" s="1" t="s">
        <v>856</v>
      </c>
      <c r="B259" s="1" t="s">
        <v>857</v>
      </c>
      <c r="C259" s="1" t="s">
        <v>858</v>
      </c>
      <c r="D259" s="1" t="s">
        <v>859</v>
      </c>
      <c r="E259" s="2" t="s">
        <v>2157</v>
      </c>
      <c r="F259" s="2" t="s">
        <v>2061</v>
      </c>
      <c r="G259" s="6">
        <v>760</v>
      </c>
      <c r="H259" s="8">
        <f t="shared" si="8"/>
        <v>655.17241379310349</v>
      </c>
      <c r="I259" s="2">
        <v>16</v>
      </c>
      <c r="J259" s="2">
        <f t="shared" ref="J259:J322" si="9">1-M259/H259</f>
        <v>0.68710526315789477</v>
      </c>
      <c r="K259" t="s">
        <v>860</v>
      </c>
      <c r="L259">
        <v>1</v>
      </c>
      <c r="M259">
        <v>205</v>
      </c>
      <c r="N259">
        <v>205</v>
      </c>
      <c r="O259">
        <v>0</v>
      </c>
      <c r="P259">
        <v>205</v>
      </c>
      <c r="Q259">
        <v>1</v>
      </c>
      <c r="R259">
        <v>205</v>
      </c>
      <c r="S259" t="s">
        <v>24</v>
      </c>
      <c r="T259" t="s">
        <v>24</v>
      </c>
      <c r="U259" t="s">
        <v>24</v>
      </c>
      <c r="V259" t="s">
        <v>25</v>
      </c>
      <c r="W259" t="s">
        <v>860</v>
      </c>
      <c r="X259" t="s">
        <v>26</v>
      </c>
      <c r="Y259" t="s">
        <v>24</v>
      </c>
    </row>
    <row r="260" spans="1:25" x14ac:dyDescent="0.35">
      <c r="A260" s="1" t="s">
        <v>861</v>
      </c>
      <c r="B260" s="1" t="s">
        <v>862</v>
      </c>
      <c r="C260" s="1" t="s">
        <v>537</v>
      </c>
      <c r="D260" s="1" t="s">
        <v>538</v>
      </c>
      <c r="E260" s="2" t="s">
        <v>2158</v>
      </c>
      <c r="F260" s="2" t="s">
        <v>2061</v>
      </c>
      <c r="G260" s="6">
        <v>200</v>
      </c>
      <c r="H260" s="8">
        <f t="shared" ref="H260:H323" si="10">+G260/(1+I260/100)</f>
        <v>200</v>
      </c>
      <c r="I260" s="2">
        <v>0</v>
      </c>
      <c r="J260" s="2">
        <f t="shared" si="9"/>
        <v>0.86734999999999995</v>
      </c>
      <c r="K260" t="s">
        <v>863</v>
      </c>
      <c r="L260">
        <v>1</v>
      </c>
      <c r="M260">
        <v>26.53</v>
      </c>
      <c r="N260">
        <v>26.53</v>
      </c>
      <c r="O260">
        <v>0</v>
      </c>
      <c r="P260">
        <v>26.53</v>
      </c>
      <c r="Q260">
        <v>1</v>
      </c>
      <c r="R260">
        <v>26.53</v>
      </c>
      <c r="S260" t="s">
        <v>24</v>
      </c>
      <c r="T260" t="s">
        <v>24</v>
      </c>
      <c r="U260" t="s">
        <v>24</v>
      </c>
      <c r="V260" t="s">
        <v>25</v>
      </c>
      <c r="W260" t="s">
        <v>863</v>
      </c>
      <c r="X260" t="s">
        <v>26</v>
      </c>
      <c r="Y260" t="s">
        <v>24</v>
      </c>
    </row>
    <row r="261" spans="1:25" x14ac:dyDescent="0.35">
      <c r="A261" s="1" t="s">
        <v>864</v>
      </c>
      <c r="B261" s="1" t="s">
        <v>865</v>
      </c>
      <c r="C261" s="1" t="s">
        <v>537</v>
      </c>
      <c r="D261" s="1" t="s">
        <v>538</v>
      </c>
      <c r="E261" s="2" t="s">
        <v>2159</v>
      </c>
      <c r="F261" s="2" t="s">
        <v>2061</v>
      </c>
      <c r="G261" s="6">
        <v>140</v>
      </c>
      <c r="H261" s="8">
        <f t="shared" si="10"/>
        <v>120.68965517241381</v>
      </c>
      <c r="I261" s="2">
        <v>16</v>
      </c>
      <c r="J261" s="2">
        <f t="shared" si="9"/>
        <v>0.7371257714285715</v>
      </c>
      <c r="K261" t="s">
        <v>866</v>
      </c>
      <c r="L261">
        <v>2</v>
      </c>
      <c r="M261">
        <v>31.726199999999999</v>
      </c>
      <c r="N261">
        <v>31.726199999999999</v>
      </c>
      <c r="O261">
        <v>0</v>
      </c>
      <c r="P261">
        <v>63.452399999999997</v>
      </c>
      <c r="Q261">
        <v>2</v>
      </c>
      <c r="R261">
        <v>63.45</v>
      </c>
      <c r="S261" t="s">
        <v>24</v>
      </c>
      <c r="T261" t="s">
        <v>24</v>
      </c>
      <c r="U261" t="s">
        <v>24</v>
      </c>
      <c r="V261" t="s">
        <v>25</v>
      </c>
      <c r="W261" t="s">
        <v>866</v>
      </c>
      <c r="X261" t="s">
        <v>26</v>
      </c>
      <c r="Y261" t="s">
        <v>24</v>
      </c>
    </row>
    <row r="262" spans="1:25" x14ac:dyDescent="0.35">
      <c r="A262" s="1" t="s">
        <v>867</v>
      </c>
      <c r="B262" s="1" t="s">
        <v>868</v>
      </c>
      <c r="C262" s="1" t="s">
        <v>537</v>
      </c>
      <c r="D262" s="1" t="s">
        <v>538</v>
      </c>
      <c r="E262" s="2" t="s">
        <v>2160</v>
      </c>
      <c r="F262" s="2" t="s">
        <v>2061</v>
      </c>
      <c r="G262" s="6">
        <v>250</v>
      </c>
      <c r="H262" s="8">
        <f t="shared" si="10"/>
        <v>250</v>
      </c>
      <c r="I262" s="2">
        <v>0</v>
      </c>
      <c r="J262" s="2">
        <f t="shared" si="9"/>
        <v>0.38637999999999995</v>
      </c>
      <c r="K262" t="s">
        <v>869</v>
      </c>
      <c r="L262">
        <v>1</v>
      </c>
      <c r="M262">
        <v>153.405</v>
      </c>
      <c r="N262">
        <v>153.405</v>
      </c>
      <c r="O262">
        <v>0</v>
      </c>
      <c r="P262">
        <v>153.405</v>
      </c>
      <c r="Q262">
        <v>1</v>
      </c>
      <c r="R262">
        <v>153.41</v>
      </c>
      <c r="S262" t="s">
        <v>24</v>
      </c>
      <c r="T262" t="s">
        <v>24</v>
      </c>
      <c r="U262" t="s">
        <v>24</v>
      </c>
      <c r="V262" t="s">
        <v>25</v>
      </c>
      <c r="W262" t="s">
        <v>869</v>
      </c>
      <c r="X262" t="s">
        <v>26</v>
      </c>
      <c r="Y262" t="s">
        <v>24</v>
      </c>
    </row>
    <row r="263" spans="1:25" x14ac:dyDescent="0.35">
      <c r="A263" s="1" t="s">
        <v>870</v>
      </c>
      <c r="B263" s="1" t="s">
        <v>871</v>
      </c>
      <c r="C263" s="1" t="s">
        <v>34</v>
      </c>
      <c r="D263" s="1" t="s">
        <v>35</v>
      </c>
      <c r="E263" s="2" t="s">
        <v>2161</v>
      </c>
      <c r="F263" s="2" t="s">
        <v>2061</v>
      </c>
      <c r="G263" s="6">
        <v>120</v>
      </c>
      <c r="H263" s="8">
        <f t="shared" si="10"/>
        <v>111.1111111111111</v>
      </c>
      <c r="I263" s="2">
        <v>8</v>
      </c>
      <c r="J263" s="2">
        <f t="shared" si="9"/>
        <v>0.73215999999999992</v>
      </c>
      <c r="K263" t="s">
        <v>872</v>
      </c>
      <c r="L263">
        <v>4</v>
      </c>
      <c r="M263">
        <v>29.76</v>
      </c>
      <c r="N263">
        <v>29.76</v>
      </c>
      <c r="O263">
        <v>0</v>
      </c>
      <c r="P263">
        <v>119.04</v>
      </c>
      <c r="Q263">
        <v>4</v>
      </c>
      <c r="R263">
        <v>119.04</v>
      </c>
      <c r="S263" t="s">
        <v>24</v>
      </c>
      <c r="T263" t="s">
        <v>24</v>
      </c>
      <c r="U263" t="s">
        <v>24</v>
      </c>
      <c r="V263" t="s">
        <v>25</v>
      </c>
      <c r="W263" t="s">
        <v>872</v>
      </c>
      <c r="X263" t="s">
        <v>26</v>
      </c>
      <c r="Y263" t="s">
        <v>24</v>
      </c>
    </row>
    <row r="264" spans="1:25" x14ac:dyDescent="0.35">
      <c r="A264" s="1" t="s">
        <v>873</v>
      </c>
      <c r="B264" s="1" t="s">
        <v>874</v>
      </c>
      <c r="C264" s="1" t="s">
        <v>34</v>
      </c>
      <c r="D264" s="1" t="s">
        <v>35</v>
      </c>
      <c r="E264" s="2" t="s">
        <v>2162</v>
      </c>
      <c r="F264" s="2" t="s">
        <v>2061</v>
      </c>
      <c r="G264" s="6">
        <v>120</v>
      </c>
      <c r="H264" s="8">
        <f t="shared" si="10"/>
        <v>111.1111111111111</v>
      </c>
      <c r="I264" s="2">
        <v>8</v>
      </c>
      <c r="J264" s="2">
        <f t="shared" si="9"/>
        <v>0.73215999999999992</v>
      </c>
      <c r="K264" t="s">
        <v>875</v>
      </c>
      <c r="L264">
        <v>2</v>
      </c>
      <c r="M264">
        <v>29.76</v>
      </c>
      <c r="N264">
        <v>29.76</v>
      </c>
      <c r="O264">
        <v>0</v>
      </c>
      <c r="P264">
        <v>59.52</v>
      </c>
      <c r="Q264">
        <v>2</v>
      </c>
      <c r="R264">
        <v>59.52</v>
      </c>
      <c r="S264" t="s">
        <v>24</v>
      </c>
      <c r="T264" t="s">
        <v>24</v>
      </c>
      <c r="U264" t="s">
        <v>24</v>
      </c>
      <c r="V264" t="s">
        <v>25</v>
      </c>
      <c r="W264" t="s">
        <v>875</v>
      </c>
      <c r="X264" t="s">
        <v>26</v>
      </c>
      <c r="Y264" t="s">
        <v>24</v>
      </c>
    </row>
    <row r="265" spans="1:25" x14ac:dyDescent="0.35">
      <c r="A265" s="1" t="s">
        <v>876</v>
      </c>
      <c r="B265" s="1" t="s">
        <v>877</v>
      </c>
      <c r="C265" s="1" t="s">
        <v>537</v>
      </c>
      <c r="D265" s="1" t="s">
        <v>538</v>
      </c>
      <c r="E265" s="2" t="s">
        <v>2163</v>
      </c>
      <c r="F265" s="2" t="s">
        <v>2061</v>
      </c>
      <c r="G265" s="6">
        <v>200</v>
      </c>
      <c r="H265" s="8">
        <f t="shared" si="10"/>
        <v>200</v>
      </c>
      <c r="I265" s="2">
        <v>0</v>
      </c>
      <c r="J265" s="2">
        <f t="shared" si="9"/>
        <v>0.64701300000000006</v>
      </c>
      <c r="K265" t="s">
        <v>878</v>
      </c>
      <c r="L265">
        <v>1</v>
      </c>
      <c r="M265">
        <v>70.597399999999993</v>
      </c>
      <c r="N265">
        <v>70.597399999999993</v>
      </c>
      <c r="O265">
        <v>0</v>
      </c>
      <c r="P265">
        <v>70.597399999999993</v>
      </c>
      <c r="Q265">
        <v>1</v>
      </c>
      <c r="R265">
        <v>70.599999999999994</v>
      </c>
      <c r="S265" t="s">
        <v>24</v>
      </c>
      <c r="T265" t="s">
        <v>24</v>
      </c>
      <c r="U265" t="s">
        <v>24</v>
      </c>
      <c r="V265" t="s">
        <v>25</v>
      </c>
      <c r="W265" t="s">
        <v>878</v>
      </c>
      <c r="X265" t="s">
        <v>26</v>
      </c>
      <c r="Y265" t="s">
        <v>24</v>
      </c>
    </row>
    <row r="266" spans="1:25" x14ac:dyDescent="0.35">
      <c r="A266" s="1" t="s">
        <v>879</v>
      </c>
      <c r="B266" s="1" t="s">
        <v>880</v>
      </c>
      <c r="C266" s="1" t="s">
        <v>537</v>
      </c>
      <c r="D266" s="1" t="s">
        <v>538</v>
      </c>
      <c r="E266" s="2" t="s">
        <v>2164</v>
      </c>
      <c r="F266" s="2" t="s">
        <v>2061</v>
      </c>
      <c r="G266" s="6">
        <v>35</v>
      </c>
      <c r="H266" s="8">
        <f t="shared" si="10"/>
        <v>30.172413793103452</v>
      </c>
      <c r="I266" s="2">
        <v>16</v>
      </c>
      <c r="J266" s="2">
        <f t="shared" si="9"/>
        <v>0.69310045714285717</v>
      </c>
      <c r="K266" t="s">
        <v>881</v>
      </c>
      <c r="L266">
        <v>1</v>
      </c>
      <c r="M266">
        <v>9.2599</v>
      </c>
      <c r="N266">
        <v>9.26</v>
      </c>
      <c r="O266">
        <v>0</v>
      </c>
      <c r="P266">
        <v>9.2599</v>
      </c>
      <c r="Q266">
        <v>1</v>
      </c>
      <c r="R266">
        <v>9.26</v>
      </c>
      <c r="S266" t="s">
        <v>24</v>
      </c>
      <c r="T266" t="s">
        <v>24</v>
      </c>
      <c r="U266" t="s">
        <v>24</v>
      </c>
      <c r="V266" t="s">
        <v>25</v>
      </c>
      <c r="W266" t="s">
        <v>881</v>
      </c>
      <c r="X266" t="s">
        <v>26</v>
      </c>
      <c r="Y266" t="s">
        <v>24</v>
      </c>
    </row>
    <row r="267" spans="1:25" x14ac:dyDescent="0.35">
      <c r="A267" s="1" t="s">
        <v>882</v>
      </c>
      <c r="B267" s="1" t="s">
        <v>883</v>
      </c>
      <c r="C267" s="1" t="s">
        <v>292</v>
      </c>
      <c r="D267" s="1" t="s">
        <v>293</v>
      </c>
      <c r="E267" s="2" t="s">
        <v>2165</v>
      </c>
      <c r="F267" s="2" t="s">
        <v>1913</v>
      </c>
      <c r="G267" s="6">
        <v>80</v>
      </c>
      <c r="H267" s="8">
        <f t="shared" si="10"/>
        <v>68.965517241379317</v>
      </c>
      <c r="I267" s="2">
        <v>16</v>
      </c>
      <c r="J267" s="2">
        <f t="shared" si="9"/>
        <v>0.71290000000000009</v>
      </c>
      <c r="K267" t="s">
        <v>884</v>
      </c>
      <c r="L267">
        <v>1</v>
      </c>
      <c r="M267">
        <v>19.8</v>
      </c>
      <c r="N267">
        <v>19.8</v>
      </c>
      <c r="O267">
        <v>0</v>
      </c>
      <c r="P267">
        <v>19.8</v>
      </c>
      <c r="Q267">
        <v>1</v>
      </c>
      <c r="R267">
        <v>19.8</v>
      </c>
      <c r="S267" t="s">
        <v>24</v>
      </c>
      <c r="T267" t="s">
        <v>24</v>
      </c>
      <c r="U267" t="s">
        <v>24</v>
      </c>
      <c r="V267" t="s">
        <v>25</v>
      </c>
      <c r="W267" t="s">
        <v>884</v>
      </c>
      <c r="X267" t="s">
        <v>26</v>
      </c>
      <c r="Y267" t="s">
        <v>24</v>
      </c>
    </row>
    <row r="268" spans="1:25" x14ac:dyDescent="0.35">
      <c r="A268" s="1" t="s">
        <v>885</v>
      </c>
      <c r="B268" s="1" t="s">
        <v>886</v>
      </c>
      <c r="C268" s="1" t="s">
        <v>292</v>
      </c>
      <c r="D268" s="1" t="s">
        <v>293</v>
      </c>
      <c r="E268" s="2" t="s">
        <v>2166</v>
      </c>
      <c r="F268" s="2" t="s">
        <v>1913</v>
      </c>
      <c r="G268" s="6">
        <v>80</v>
      </c>
      <c r="H268" s="8">
        <f t="shared" si="10"/>
        <v>68.965517241379317</v>
      </c>
      <c r="I268" s="2">
        <v>16</v>
      </c>
      <c r="J268" s="2">
        <f t="shared" si="9"/>
        <v>0.71346405000000002</v>
      </c>
      <c r="K268" t="s">
        <v>887</v>
      </c>
      <c r="L268">
        <v>2</v>
      </c>
      <c r="M268">
        <v>19.761099999999999</v>
      </c>
      <c r="N268">
        <v>19.761099999999999</v>
      </c>
      <c r="O268">
        <v>0</v>
      </c>
      <c r="P268">
        <v>39.522199999999998</v>
      </c>
      <c r="Q268">
        <v>2</v>
      </c>
      <c r="R268">
        <v>39.520000000000003</v>
      </c>
      <c r="S268" t="s">
        <v>24</v>
      </c>
      <c r="T268" t="s">
        <v>24</v>
      </c>
      <c r="U268" t="s">
        <v>24</v>
      </c>
      <c r="V268" t="s">
        <v>25</v>
      </c>
      <c r="W268" t="s">
        <v>887</v>
      </c>
      <c r="X268" t="s">
        <v>26</v>
      </c>
      <c r="Y268" t="s">
        <v>24</v>
      </c>
    </row>
    <row r="269" spans="1:25" x14ac:dyDescent="0.35">
      <c r="A269" s="1" t="s">
        <v>888</v>
      </c>
      <c r="B269" s="1" t="s">
        <v>889</v>
      </c>
      <c r="C269" s="1" t="s">
        <v>34</v>
      </c>
      <c r="D269" s="1" t="s">
        <v>35</v>
      </c>
      <c r="E269" s="2" t="s">
        <v>2167</v>
      </c>
      <c r="F269" s="2" t="s">
        <v>1913</v>
      </c>
      <c r="G269" s="6">
        <v>380</v>
      </c>
      <c r="H269" s="8">
        <f t="shared" si="10"/>
        <v>327.58620689655174</v>
      </c>
      <c r="I269" s="2">
        <v>16</v>
      </c>
      <c r="J269" s="2">
        <f t="shared" si="9"/>
        <v>0.71</v>
      </c>
      <c r="K269" t="s">
        <v>890</v>
      </c>
      <c r="L269">
        <v>1</v>
      </c>
      <c r="M269">
        <v>95</v>
      </c>
      <c r="N269">
        <v>95</v>
      </c>
      <c r="O269">
        <v>0</v>
      </c>
      <c r="P269">
        <v>95</v>
      </c>
      <c r="Q269">
        <v>1</v>
      </c>
      <c r="R269">
        <v>95</v>
      </c>
      <c r="S269" t="s">
        <v>24</v>
      </c>
      <c r="T269" t="s">
        <v>24</v>
      </c>
      <c r="U269" t="s">
        <v>24</v>
      </c>
      <c r="V269" t="s">
        <v>25</v>
      </c>
      <c r="W269" t="s">
        <v>890</v>
      </c>
      <c r="X269" t="s">
        <v>26</v>
      </c>
      <c r="Y269" t="s">
        <v>24</v>
      </c>
    </row>
    <row r="270" spans="1:25" x14ac:dyDescent="0.35">
      <c r="A270" s="1" t="s">
        <v>891</v>
      </c>
      <c r="B270" s="1" t="s">
        <v>892</v>
      </c>
      <c r="C270" s="1" t="s">
        <v>29</v>
      </c>
      <c r="D270" s="1" t="s">
        <v>30</v>
      </c>
      <c r="E270" s="2" t="s">
        <v>2168</v>
      </c>
      <c r="F270" s="2" t="s">
        <v>1913</v>
      </c>
      <c r="G270" s="6">
        <v>380</v>
      </c>
      <c r="H270" s="8">
        <f t="shared" si="10"/>
        <v>327.58620689655174</v>
      </c>
      <c r="I270" s="2">
        <v>16</v>
      </c>
      <c r="J270" s="2">
        <f t="shared" si="9"/>
        <v>0.65059914736842106</v>
      </c>
      <c r="K270" t="s">
        <v>893</v>
      </c>
      <c r="L270">
        <v>2</v>
      </c>
      <c r="M270">
        <v>114.4589</v>
      </c>
      <c r="N270">
        <v>114.4589</v>
      </c>
      <c r="O270">
        <v>0</v>
      </c>
      <c r="P270">
        <v>228.9178</v>
      </c>
      <c r="Q270">
        <v>2</v>
      </c>
      <c r="R270">
        <v>228.92</v>
      </c>
      <c r="S270" t="s">
        <v>24</v>
      </c>
      <c r="T270" t="s">
        <v>24</v>
      </c>
      <c r="U270" t="s">
        <v>24</v>
      </c>
      <c r="V270" t="s">
        <v>25</v>
      </c>
      <c r="W270" t="s">
        <v>893</v>
      </c>
      <c r="X270" t="s">
        <v>26</v>
      </c>
      <c r="Y270" t="s">
        <v>24</v>
      </c>
    </row>
    <row r="271" spans="1:25" x14ac:dyDescent="0.35">
      <c r="A271" s="1" t="s">
        <v>894</v>
      </c>
      <c r="B271" s="1" t="s">
        <v>895</v>
      </c>
      <c r="C271" s="1" t="s">
        <v>254</v>
      </c>
      <c r="D271" s="1" t="s">
        <v>255</v>
      </c>
      <c r="E271" s="2" t="s">
        <v>2169</v>
      </c>
      <c r="F271" s="2" t="s">
        <v>1911</v>
      </c>
      <c r="G271" s="6">
        <v>380</v>
      </c>
      <c r="H271" s="8">
        <f t="shared" si="10"/>
        <v>327.58620689655174</v>
      </c>
      <c r="I271" s="2">
        <v>16</v>
      </c>
      <c r="J271" s="2">
        <f t="shared" si="9"/>
        <v>0.54515789473684206</v>
      </c>
      <c r="K271" t="s">
        <v>896</v>
      </c>
      <c r="L271">
        <v>1</v>
      </c>
      <c r="M271">
        <v>149</v>
      </c>
      <c r="N271">
        <v>149</v>
      </c>
      <c r="O271">
        <v>0</v>
      </c>
      <c r="P271">
        <v>149</v>
      </c>
      <c r="Q271">
        <v>1</v>
      </c>
      <c r="R271">
        <v>149</v>
      </c>
      <c r="S271" t="s">
        <v>24</v>
      </c>
      <c r="T271" t="s">
        <v>24</v>
      </c>
      <c r="U271" t="s">
        <v>24</v>
      </c>
      <c r="V271" t="s">
        <v>25</v>
      </c>
      <c r="W271" t="s">
        <v>896</v>
      </c>
      <c r="X271" t="s">
        <v>26</v>
      </c>
      <c r="Y271" t="s">
        <v>24</v>
      </c>
    </row>
    <row r="272" spans="1:25" x14ac:dyDescent="0.35">
      <c r="A272" s="1" t="s">
        <v>897</v>
      </c>
      <c r="B272" s="1" t="s">
        <v>898</v>
      </c>
      <c r="C272" s="1" t="s">
        <v>537</v>
      </c>
      <c r="D272" s="1" t="s">
        <v>538</v>
      </c>
      <c r="E272" s="2" t="s">
        <v>2170</v>
      </c>
      <c r="F272" s="2" t="s">
        <v>2061</v>
      </c>
      <c r="G272" s="6">
        <v>296</v>
      </c>
      <c r="H272" s="8">
        <f t="shared" si="10"/>
        <v>296</v>
      </c>
      <c r="I272" s="2">
        <v>0</v>
      </c>
      <c r="J272" s="2">
        <f t="shared" si="9"/>
        <v>0.71304054054054056</v>
      </c>
      <c r="K272" t="s">
        <v>899</v>
      </c>
      <c r="L272">
        <v>1</v>
      </c>
      <c r="M272">
        <v>84.94</v>
      </c>
      <c r="N272">
        <v>84.94</v>
      </c>
      <c r="O272">
        <v>0</v>
      </c>
      <c r="P272">
        <v>84.94</v>
      </c>
      <c r="Q272">
        <v>1</v>
      </c>
      <c r="R272">
        <v>84.94</v>
      </c>
      <c r="S272" t="s">
        <v>24</v>
      </c>
      <c r="T272" t="s">
        <v>24</v>
      </c>
      <c r="U272" t="s">
        <v>24</v>
      </c>
      <c r="V272" t="s">
        <v>25</v>
      </c>
      <c r="W272" t="s">
        <v>899</v>
      </c>
      <c r="X272" t="s">
        <v>26</v>
      </c>
      <c r="Y272" t="s">
        <v>24</v>
      </c>
    </row>
    <row r="273" spans="1:25" x14ac:dyDescent="0.35">
      <c r="A273" s="1" t="s">
        <v>900</v>
      </c>
      <c r="B273" s="1" t="s">
        <v>901</v>
      </c>
      <c r="C273" s="1" t="s">
        <v>537</v>
      </c>
      <c r="D273" s="1" t="s">
        <v>538</v>
      </c>
      <c r="E273" s="2" t="s">
        <v>2171</v>
      </c>
      <c r="F273" s="2" t="s">
        <v>2061</v>
      </c>
      <c r="G273" s="6">
        <v>420</v>
      </c>
      <c r="H273" s="8">
        <f t="shared" si="10"/>
        <v>420</v>
      </c>
      <c r="I273" s="2">
        <v>0</v>
      </c>
      <c r="J273" s="2">
        <f t="shared" si="9"/>
        <v>0.75720833333333337</v>
      </c>
      <c r="K273" t="s">
        <v>902</v>
      </c>
      <c r="L273">
        <v>1</v>
      </c>
      <c r="M273">
        <v>101.9725</v>
      </c>
      <c r="N273">
        <v>101.9725</v>
      </c>
      <c r="O273">
        <v>0</v>
      </c>
      <c r="P273">
        <v>101.9725</v>
      </c>
      <c r="Q273">
        <v>1</v>
      </c>
      <c r="R273">
        <v>101.97</v>
      </c>
      <c r="S273" t="s">
        <v>24</v>
      </c>
      <c r="T273" t="s">
        <v>24</v>
      </c>
      <c r="U273" t="s">
        <v>24</v>
      </c>
      <c r="V273" t="s">
        <v>25</v>
      </c>
      <c r="W273" t="s">
        <v>902</v>
      </c>
      <c r="X273" t="s">
        <v>26</v>
      </c>
      <c r="Y273" t="s">
        <v>24</v>
      </c>
    </row>
    <row r="274" spans="1:25" x14ac:dyDescent="0.35">
      <c r="A274" s="1" t="s">
        <v>903</v>
      </c>
      <c r="B274" s="1" t="s">
        <v>904</v>
      </c>
      <c r="C274" s="1" t="s">
        <v>403</v>
      </c>
      <c r="D274" s="1" t="s">
        <v>404</v>
      </c>
      <c r="E274" s="2" t="s">
        <v>2172</v>
      </c>
      <c r="F274" s="2" t="s">
        <v>2061</v>
      </c>
      <c r="G274" s="6">
        <v>240</v>
      </c>
      <c r="H274" s="8">
        <f t="shared" si="10"/>
        <v>240</v>
      </c>
      <c r="I274" s="2">
        <v>0</v>
      </c>
      <c r="J274" s="2">
        <f t="shared" si="9"/>
        <v>0.71979166666666661</v>
      </c>
      <c r="K274" t="s">
        <v>905</v>
      </c>
      <c r="L274">
        <v>1</v>
      </c>
      <c r="M274">
        <v>67.25</v>
      </c>
      <c r="N274">
        <v>67.25</v>
      </c>
      <c r="O274">
        <v>0</v>
      </c>
      <c r="P274">
        <v>67.25</v>
      </c>
      <c r="Q274">
        <v>1</v>
      </c>
      <c r="R274">
        <v>67.25</v>
      </c>
      <c r="S274" t="s">
        <v>24</v>
      </c>
      <c r="T274" t="s">
        <v>24</v>
      </c>
      <c r="U274" t="s">
        <v>24</v>
      </c>
      <c r="V274" t="s">
        <v>25</v>
      </c>
      <c r="W274" t="s">
        <v>905</v>
      </c>
      <c r="X274" t="s">
        <v>26</v>
      </c>
      <c r="Y274" t="s">
        <v>24</v>
      </c>
    </row>
    <row r="275" spans="1:25" x14ac:dyDescent="0.35">
      <c r="A275" s="1" t="s">
        <v>906</v>
      </c>
      <c r="B275" s="1" t="s">
        <v>907</v>
      </c>
      <c r="C275" s="1" t="s">
        <v>265</v>
      </c>
      <c r="D275" s="1" t="s">
        <v>266</v>
      </c>
      <c r="E275" s="2" t="s">
        <v>2173</v>
      </c>
      <c r="F275" s="2" t="s">
        <v>2061</v>
      </c>
      <c r="G275" s="6">
        <v>680</v>
      </c>
      <c r="H275" s="8">
        <f t="shared" si="10"/>
        <v>680</v>
      </c>
      <c r="I275" s="2">
        <v>0</v>
      </c>
      <c r="J275" s="2">
        <f t="shared" si="9"/>
        <v>0.73136029411764703</v>
      </c>
      <c r="K275" t="s">
        <v>908</v>
      </c>
      <c r="L275">
        <v>2</v>
      </c>
      <c r="M275">
        <v>182.67500000000001</v>
      </c>
      <c r="N275">
        <v>182.67500000000001</v>
      </c>
      <c r="O275">
        <v>0</v>
      </c>
      <c r="P275">
        <v>365.35</v>
      </c>
      <c r="Q275">
        <v>2</v>
      </c>
      <c r="R275">
        <v>365.35</v>
      </c>
      <c r="S275" t="s">
        <v>24</v>
      </c>
      <c r="T275" t="s">
        <v>24</v>
      </c>
      <c r="U275" t="s">
        <v>24</v>
      </c>
      <c r="V275" t="s">
        <v>25</v>
      </c>
      <c r="W275" t="s">
        <v>908</v>
      </c>
      <c r="X275" t="s">
        <v>26</v>
      </c>
      <c r="Y275" t="s">
        <v>24</v>
      </c>
    </row>
    <row r="276" spans="1:25" x14ac:dyDescent="0.35">
      <c r="A276" s="1" t="s">
        <v>909</v>
      </c>
      <c r="B276" s="1" t="s">
        <v>910</v>
      </c>
      <c r="C276" s="1" t="s">
        <v>34</v>
      </c>
      <c r="D276" s="1" t="s">
        <v>35</v>
      </c>
      <c r="E276" s="2" t="s">
        <v>2174</v>
      </c>
      <c r="F276" s="2" t="s">
        <v>1913</v>
      </c>
      <c r="G276" s="6">
        <v>380</v>
      </c>
      <c r="H276" s="8">
        <f t="shared" si="10"/>
        <v>327.58620689655174</v>
      </c>
      <c r="I276" s="2">
        <v>16</v>
      </c>
      <c r="J276" s="2">
        <f t="shared" si="9"/>
        <v>0.71</v>
      </c>
      <c r="K276" t="s">
        <v>911</v>
      </c>
      <c r="L276">
        <v>1</v>
      </c>
      <c r="M276">
        <v>95</v>
      </c>
      <c r="N276">
        <v>95</v>
      </c>
      <c r="O276">
        <v>0</v>
      </c>
      <c r="P276">
        <v>95</v>
      </c>
      <c r="Q276">
        <v>1</v>
      </c>
      <c r="R276">
        <v>95</v>
      </c>
      <c r="S276" t="s">
        <v>24</v>
      </c>
      <c r="T276" t="s">
        <v>24</v>
      </c>
      <c r="U276" t="s">
        <v>24</v>
      </c>
      <c r="V276" t="s">
        <v>25</v>
      </c>
      <c r="W276" t="s">
        <v>911</v>
      </c>
      <c r="X276" t="s">
        <v>26</v>
      </c>
      <c r="Y276" t="s">
        <v>24</v>
      </c>
    </row>
    <row r="277" spans="1:25" x14ac:dyDescent="0.35">
      <c r="A277" s="1" t="s">
        <v>912</v>
      </c>
      <c r="B277" s="1" t="s">
        <v>913</v>
      </c>
      <c r="C277" s="1" t="s">
        <v>29</v>
      </c>
      <c r="D277" s="1" t="s">
        <v>30</v>
      </c>
      <c r="E277" s="2" t="s">
        <v>2175</v>
      </c>
      <c r="F277" s="2" t="s">
        <v>1913</v>
      </c>
      <c r="G277" s="6">
        <v>380</v>
      </c>
      <c r="H277" s="8">
        <f t="shared" si="10"/>
        <v>327.58620689655174</v>
      </c>
      <c r="I277" s="2">
        <v>16</v>
      </c>
      <c r="J277" s="2">
        <f t="shared" si="9"/>
        <v>0.65137298947368416</v>
      </c>
      <c r="K277" t="s">
        <v>914</v>
      </c>
      <c r="L277">
        <v>1</v>
      </c>
      <c r="M277">
        <v>114.2054</v>
      </c>
      <c r="N277">
        <v>114.2054</v>
      </c>
      <c r="O277">
        <v>0</v>
      </c>
      <c r="P277">
        <v>114.2054</v>
      </c>
      <c r="Q277">
        <v>1</v>
      </c>
      <c r="R277">
        <v>114.21</v>
      </c>
      <c r="S277" t="s">
        <v>24</v>
      </c>
      <c r="T277" t="s">
        <v>24</v>
      </c>
      <c r="U277" t="s">
        <v>24</v>
      </c>
      <c r="V277" t="s">
        <v>25</v>
      </c>
      <c r="W277" t="s">
        <v>914</v>
      </c>
      <c r="X277" t="s">
        <v>26</v>
      </c>
      <c r="Y277" t="s">
        <v>24</v>
      </c>
    </row>
    <row r="278" spans="1:25" x14ac:dyDescent="0.35">
      <c r="A278" s="1" t="s">
        <v>915</v>
      </c>
      <c r="B278" s="1" t="s">
        <v>916</v>
      </c>
      <c r="C278" s="1" t="s">
        <v>295</v>
      </c>
      <c r="D278" s="1" t="s">
        <v>296</v>
      </c>
      <c r="E278" s="2" t="s">
        <v>2176</v>
      </c>
      <c r="F278" s="2" t="s">
        <v>1913</v>
      </c>
      <c r="G278" s="6">
        <v>380</v>
      </c>
      <c r="H278" s="8">
        <f t="shared" si="10"/>
        <v>327.58620689655174</v>
      </c>
      <c r="I278" s="2">
        <v>16</v>
      </c>
      <c r="J278" s="2">
        <f t="shared" si="9"/>
        <v>0.6510701684210527</v>
      </c>
      <c r="K278" t="s">
        <v>917</v>
      </c>
      <c r="L278">
        <v>2</v>
      </c>
      <c r="M278">
        <v>114.30459999999999</v>
      </c>
      <c r="N278">
        <v>114.30459999999999</v>
      </c>
      <c r="O278">
        <v>0</v>
      </c>
      <c r="P278">
        <v>228.60919999999999</v>
      </c>
      <c r="Q278">
        <v>2</v>
      </c>
      <c r="R278">
        <v>228.61</v>
      </c>
      <c r="S278" t="s">
        <v>24</v>
      </c>
      <c r="T278" t="s">
        <v>24</v>
      </c>
      <c r="U278" t="s">
        <v>24</v>
      </c>
      <c r="V278" t="s">
        <v>25</v>
      </c>
      <c r="W278" t="s">
        <v>917</v>
      </c>
      <c r="X278" t="s">
        <v>26</v>
      </c>
      <c r="Y278" t="s">
        <v>24</v>
      </c>
    </row>
    <row r="279" spans="1:25" x14ac:dyDescent="0.35">
      <c r="A279" s="1" t="s">
        <v>918</v>
      </c>
      <c r="B279" s="1" t="s">
        <v>919</v>
      </c>
      <c r="C279" s="1" t="s">
        <v>29</v>
      </c>
      <c r="D279" s="1" t="s">
        <v>30</v>
      </c>
      <c r="E279" s="2" t="s">
        <v>2177</v>
      </c>
      <c r="F279" s="2" t="s">
        <v>1913</v>
      </c>
      <c r="G279" s="6">
        <v>380</v>
      </c>
      <c r="H279" s="8">
        <f t="shared" si="10"/>
        <v>327.58620689655174</v>
      </c>
      <c r="I279" s="2">
        <v>16</v>
      </c>
      <c r="J279" s="2">
        <f t="shared" si="9"/>
        <v>0.6505139789473684</v>
      </c>
      <c r="K279" t="s">
        <v>920</v>
      </c>
      <c r="L279">
        <v>2</v>
      </c>
      <c r="M279">
        <v>114.4868</v>
      </c>
      <c r="N279">
        <v>114.4868</v>
      </c>
      <c r="O279">
        <v>0</v>
      </c>
      <c r="P279">
        <v>228.9736</v>
      </c>
      <c r="Q279">
        <v>2</v>
      </c>
      <c r="R279">
        <v>228.97</v>
      </c>
      <c r="S279" t="s">
        <v>24</v>
      </c>
      <c r="T279" t="s">
        <v>24</v>
      </c>
      <c r="U279" t="s">
        <v>24</v>
      </c>
      <c r="V279" t="s">
        <v>25</v>
      </c>
      <c r="W279" t="s">
        <v>920</v>
      </c>
      <c r="X279" t="s">
        <v>26</v>
      </c>
      <c r="Y279" t="s">
        <v>24</v>
      </c>
    </row>
    <row r="280" spans="1:25" x14ac:dyDescent="0.35">
      <c r="A280" s="1" t="s">
        <v>921</v>
      </c>
      <c r="B280" s="1" t="s">
        <v>922</v>
      </c>
      <c r="C280" s="1" t="s">
        <v>265</v>
      </c>
      <c r="D280" s="1" t="s">
        <v>266</v>
      </c>
      <c r="E280" s="2" t="s">
        <v>2178</v>
      </c>
      <c r="F280" s="2" t="s">
        <v>2105</v>
      </c>
      <c r="G280" s="6">
        <v>120</v>
      </c>
      <c r="H280" s="8">
        <f t="shared" si="10"/>
        <v>103.44827586206897</v>
      </c>
      <c r="I280" s="2">
        <v>16</v>
      </c>
      <c r="J280" s="2">
        <f t="shared" si="9"/>
        <v>0.66168019999999994</v>
      </c>
      <c r="K280" t="s">
        <v>923</v>
      </c>
      <c r="L280">
        <v>14</v>
      </c>
      <c r="M280">
        <v>34.998600000000003</v>
      </c>
      <c r="N280">
        <v>34.997900000000001</v>
      </c>
      <c r="O280">
        <v>0</v>
      </c>
      <c r="P280">
        <v>489.98039999999997</v>
      </c>
      <c r="Q280">
        <v>14</v>
      </c>
      <c r="R280">
        <v>489.98</v>
      </c>
      <c r="S280" t="s">
        <v>24</v>
      </c>
      <c r="T280" t="s">
        <v>24</v>
      </c>
      <c r="U280" t="s">
        <v>24</v>
      </c>
      <c r="V280" t="s">
        <v>25</v>
      </c>
      <c r="W280" t="s">
        <v>923</v>
      </c>
      <c r="X280" t="s">
        <v>26</v>
      </c>
      <c r="Y280" t="s">
        <v>24</v>
      </c>
    </row>
    <row r="281" spans="1:25" x14ac:dyDescent="0.35">
      <c r="A281" s="1" t="s">
        <v>924</v>
      </c>
      <c r="B281" s="1" t="s">
        <v>925</v>
      </c>
      <c r="C281" s="1" t="s">
        <v>265</v>
      </c>
      <c r="D281" s="1" t="s">
        <v>266</v>
      </c>
      <c r="E281" s="2" t="s">
        <v>2179</v>
      </c>
      <c r="F281" s="2" t="s">
        <v>2105</v>
      </c>
      <c r="G281" s="6">
        <v>180</v>
      </c>
      <c r="H281" s="8">
        <f t="shared" si="10"/>
        <v>155.17241379310346</v>
      </c>
      <c r="I281" s="2">
        <v>16</v>
      </c>
      <c r="J281" s="2">
        <f t="shared" si="9"/>
        <v>0.69172548888888885</v>
      </c>
      <c r="K281" t="s">
        <v>926</v>
      </c>
      <c r="L281">
        <v>6</v>
      </c>
      <c r="M281">
        <v>47.835700000000003</v>
      </c>
      <c r="N281">
        <v>47.835700000000003</v>
      </c>
      <c r="O281">
        <v>0</v>
      </c>
      <c r="P281">
        <v>287.01420000000002</v>
      </c>
      <c r="Q281">
        <v>6</v>
      </c>
      <c r="R281">
        <v>287.01</v>
      </c>
      <c r="S281" t="s">
        <v>24</v>
      </c>
      <c r="T281" t="s">
        <v>24</v>
      </c>
      <c r="U281" t="s">
        <v>24</v>
      </c>
      <c r="V281" t="s">
        <v>25</v>
      </c>
      <c r="W281" t="s">
        <v>926</v>
      </c>
      <c r="X281" t="s">
        <v>26</v>
      </c>
      <c r="Y281" t="s">
        <v>24</v>
      </c>
    </row>
    <row r="282" spans="1:25" x14ac:dyDescent="0.35">
      <c r="A282" s="1" t="s">
        <v>927</v>
      </c>
      <c r="B282" s="1" t="s">
        <v>928</v>
      </c>
      <c r="C282" s="1" t="s">
        <v>553</v>
      </c>
      <c r="D282" s="1" t="s">
        <v>554</v>
      </c>
      <c r="E282" s="2" t="s">
        <v>2180</v>
      </c>
      <c r="F282" s="2" t="s">
        <v>2061</v>
      </c>
      <c r="G282" s="6">
        <v>40</v>
      </c>
      <c r="H282" s="8">
        <f t="shared" si="10"/>
        <v>34.482758620689658</v>
      </c>
      <c r="I282" s="2">
        <v>16</v>
      </c>
      <c r="J282" s="2">
        <f t="shared" si="9"/>
        <v>0.49482000000000004</v>
      </c>
      <c r="K282" t="s">
        <v>929</v>
      </c>
      <c r="L282">
        <v>4</v>
      </c>
      <c r="M282">
        <v>17.420000000000002</v>
      </c>
      <c r="N282">
        <v>17.420000000000002</v>
      </c>
      <c r="O282">
        <v>0</v>
      </c>
      <c r="P282">
        <v>69.680000000000007</v>
      </c>
      <c r="Q282">
        <v>4</v>
      </c>
      <c r="R282">
        <v>69.680000000000007</v>
      </c>
      <c r="S282" t="s">
        <v>24</v>
      </c>
      <c r="T282" t="s">
        <v>24</v>
      </c>
      <c r="U282" t="s">
        <v>24</v>
      </c>
      <c r="V282" t="s">
        <v>25</v>
      </c>
      <c r="W282" t="s">
        <v>929</v>
      </c>
      <c r="X282" t="s">
        <v>26</v>
      </c>
      <c r="Y282" t="s">
        <v>24</v>
      </c>
    </row>
    <row r="283" spans="1:25" x14ac:dyDescent="0.35">
      <c r="A283" s="1" t="s">
        <v>930</v>
      </c>
      <c r="B283" s="1" t="s">
        <v>931</v>
      </c>
      <c r="C283" s="1" t="s">
        <v>295</v>
      </c>
      <c r="D283" s="1" t="s">
        <v>296</v>
      </c>
      <c r="E283" s="2" t="s">
        <v>2181</v>
      </c>
      <c r="F283" s="2" t="s">
        <v>1975</v>
      </c>
      <c r="G283" s="6">
        <v>906.5</v>
      </c>
      <c r="H283" s="8">
        <f t="shared" si="10"/>
        <v>781.46551724137942</v>
      </c>
      <c r="I283" s="2">
        <v>16</v>
      </c>
      <c r="J283" s="2">
        <f t="shared" si="9"/>
        <v>0.70847082184225041</v>
      </c>
      <c r="K283" t="s">
        <v>932</v>
      </c>
      <c r="L283">
        <v>3</v>
      </c>
      <c r="M283">
        <v>227.82</v>
      </c>
      <c r="N283">
        <v>227.82</v>
      </c>
      <c r="O283">
        <v>0</v>
      </c>
      <c r="P283">
        <v>683.46</v>
      </c>
      <c r="Q283">
        <v>3</v>
      </c>
      <c r="R283">
        <v>683.46</v>
      </c>
      <c r="S283" t="s">
        <v>24</v>
      </c>
      <c r="T283" t="s">
        <v>24</v>
      </c>
      <c r="U283" t="s">
        <v>24</v>
      </c>
      <c r="V283" t="s">
        <v>25</v>
      </c>
      <c r="W283" t="s">
        <v>932</v>
      </c>
      <c r="X283" t="s">
        <v>26</v>
      </c>
      <c r="Y283" t="s">
        <v>24</v>
      </c>
    </row>
    <row r="284" spans="1:25" x14ac:dyDescent="0.35">
      <c r="A284" s="1" t="s">
        <v>933</v>
      </c>
      <c r="B284" s="1" t="s">
        <v>934</v>
      </c>
      <c r="C284" s="1" t="s">
        <v>315</v>
      </c>
      <c r="D284" s="1" t="s">
        <v>316</v>
      </c>
      <c r="E284" s="2" t="s">
        <v>2182</v>
      </c>
      <c r="F284" s="2" t="s">
        <v>1994</v>
      </c>
      <c r="G284" s="6">
        <v>160</v>
      </c>
      <c r="H284" s="8">
        <f t="shared" si="10"/>
        <v>137.93103448275863</v>
      </c>
      <c r="I284" s="2">
        <v>16</v>
      </c>
      <c r="J284" s="2">
        <f t="shared" si="9"/>
        <v>0.70274999999999999</v>
      </c>
      <c r="K284" t="s">
        <v>935</v>
      </c>
      <c r="L284">
        <v>1</v>
      </c>
      <c r="M284">
        <v>41</v>
      </c>
      <c r="N284">
        <v>41</v>
      </c>
      <c r="O284">
        <v>0</v>
      </c>
      <c r="P284">
        <v>41</v>
      </c>
      <c r="Q284">
        <v>1</v>
      </c>
      <c r="R284">
        <v>41</v>
      </c>
      <c r="S284" t="s">
        <v>24</v>
      </c>
      <c r="T284" t="s">
        <v>24</v>
      </c>
      <c r="U284" t="s">
        <v>24</v>
      </c>
      <c r="V284" t="s">
        <v>25</v>
      </c>
      <c r="W284" t="s">
        <v>935</v>
      </c>
      <c r="X284" t="s">
        <v>26</v>
      </c>
      <c r="Y284" t="s">
        <v>24</v>
      </c>
    </row>
    <row r="285" spans="1:25" x14ac:dyDescent="0.35">
      <c r="A285" s="1" t="s">
        <v>936</v>
      </c>
      <c r="B285" s="1" t="s">
        <v>937</v>
      </c>
      <c r="C285" s="1" t="s">
        <v>938</v>
      </c>
      <c r="D285" s="1" t="s">
        <v>939</v>
      </c>
      <c r="E285" s="2" t="s">
        <v>2183</v>
      </c>
      <c r="F285" s="2" t="s">
        <v>1994</v>
      </c>
      <c r="G285" s="6">
        <v>440</v>
      </c>
      <c r="H285" s="8">
        <f t="shared" si="10"/>
        <v>379.31034482758622</v>
      </c>
      <c r="I285" s="2">
        <v>16</v>
      </c>
      <c r="J285" s="2">
        <f t="shared" si="9"/>
        <v>0.64518579090909101</v>
      </c>
      <c r="K285" t="s">
        <v>940</v>
      </c>
      <c r="L285">
        <v>1</v>
      </c>
      <c r="M285">
        <v>134.5847</v>
      </c>
      <c r="N285">
        <v>134.5848</v>
      </c>
      <c r="O285">
        <v>0</v>
      </c>
      <c r="P285">
        <v>134.5847</v>
      </c>
      <c r="Q285">
        <v>1</v>
      </c>
      <c r="R285">
        <v>134.58000000000001</v>
      </c>
      <c r="S285" t="s">
        <v>24</v>
      </c>
      <c r="T285" t="s">
        <v>24</v>
      </c>
      <c r="U285" t="s">
        <v>24</v>
      </c>
      <c r="V285" t="s">
        <v>25</v>
      </c>
      <c r="W285" t="s">
        <v>940</v>
      </c>
      <c r="X285" t="s">
        <v>26</v>
      </c>
      <c r="Y285" t="s">
        <v>24</v>
      </c>
    </row>
    <row r="286" spans="1:25" x14ac:dyDescent="0.35">
      <c r="A286" s="1" t="s">
        <v>941</v>
      </c>
      <c r="B286" s="1" t="s">
        <v>942</v>
      </c>
      <c r="C286" s="1" t="s">
        <v>938</v>
      </c>
      <c r="D286" s="1" t="s">
        <v>939</v>
      </c>
      <c r="E286" s="2" t="s">
        <v>2184</v>
      </c>
      <c r="F286" s="2" t="s">
        <v>1975</v>
      </c>
      <c r="G286" s="6">
        <v>440</v>
      </c>
      <c r="H286" s="8">
        <f t="shared" si="10"/>
        <v>379.31034482758622</v>
      </c>
      <c r="I286" s="2">
        <v>16</v>
      </c>
      <c r="J286" s="2">
        <f t="shared" si="9"/>
        <v>0.69945454545454544</v>
      </c>
      <c r="K286" t="s">
        <v>943</v>
      </c>
      <c r="L286">
        <v>2</v>
      </c>
      <c r="M286">
        <v>114</v>
      </c>
      <c r="N286">
        <v>114</v>
      </c>
      <c r="O286">
        <v>0</v>
      </c>
      <c r="P286">
        <v>228</v>
      </c>
      <c r="Q286">
        <v>2</v>
      </c>
      <c r="R286">
        <v>228</v>
      </c>
      <c r="S286" t="s">
        <v>24</v>
      </c>
      <c r="T286" t="s">
        <v>24</v>
      </c>
      <c r="U286" t="s">
        <v>24</v>
      </c>
      <c r="V286" t="s">
        <v>25</v>
      </c>
      <c r="W286" t="s">
        <v>943</v>
      </c>
      <c r="X286" t="s">
        <v>26</v>
      </c>
      <c r="Y286" t="s">
        <v>24</v>
      </c>
    </row>
    <row r="287" spans="1:25" x14ac:dyDescent="0.35">
      <c r="A287" s="1" t="s">
        <v>944</v>
      </c>
      <c r="B287" s="1" t="s">
        <v>945</v>
      </c>
      <c r="C287" s="1" t="s">
        <v>467</v>
      </c>
      <c r="D287" s="1" t="s">
        <v>468</v>
      </c>
      <c r="E287" s="2" t="s">
        <v>2185</v>
      </c>
      <c r="F287" s="2" t="s">
        <v>1975</v>
      </c>
      <c r="G287" s="6">
        <v>2700</v>
      </c>
      <c r="H287" s="8">
        <f t="shared" si="10"/>
        <v>2327.5862068965521</v>
      </c>
      <c r="I287" s="2">
        <v>16</v>
      </c>
      <c r="J287" s="2">
        <f t="shared" si="9"/>
        <v>0.69925925925925925</v>
      </c>
      <c r="K287" t="s">
        <v>946</v>
      </c>
      <c r="L287">
        <v>1</v>
      </c>
      <c r="M287">
        <v>700</v>
      </c>
      <c r="N287">
        <v>700</v>
      </c>
      <c r="O287">
        <v>0</v>
      </c>
      <c r="P287">
        <v>700</v>
      </c>
      <c r="Q287">
        <v>1</v>
      </c>
      <c r="R287">
        <v>700</v>
      </c>
      <c r="S287" t="s">
        <v>24</v>
      </c>
      <c r="T287" t="s">
        <v>24</v>
      </c>
      <c r="U287" t="s">
        <v>24</v>
      </c>
      <c r="V287" t="s">
        <v>25</v>
      </c>
      <c r="W287" t="s">
        <v>946</v>
      </c>
      <c r="X287" t="s">
        <v>26</v>
      </c>
      <c r="Y287" t="s">
        <v>24</v>
      </c>
    </row>
    <row r="288" spans="1:25" x14ac:dyDescent="0.35">
      <c r="A288" s="1" t="s">
        <v>947</v>
      </c>
      <c r="B288" s="1" t="s">
        <v>948</v>
      </c>
      <c r="C288" s="1" t="s">
        <v>392</v>
      </c>
      <c r="D288" s="1" t="s">
        <v>393</v>
      </c>
      <c r="E288" s="2" t="s">
        <v>2186</v>
      </c>
      <c r="F288" s="2" t="s">
        <v>1975</v>
      </c>
      <c r="G288" s="6">
        <v>940</v>
      </c>
      <c r="H288" s="8">
        <f t="shared" si="10"/>
        <v>810.34482758620697</v>
      </c>
      <c r="I288" s="2">
        <v>16</v>
      </c>
      <c r="J288" s="2">
        <f t="shared" si="9"/>
        <v>0.50638297872340432</v>
      </c>
      <c r="K288" t="s">
        <v>949</v>
      </c>
      <c r="L288">
        <v>1</v>
      </c>
      <c r="M288">
        <v>400</v>
      </c>
      <c r="N288">
        <v>400</v>
      </c>
      <c r="O288">
        <v>0</v>
      </c>
      <c r="P288">
        <v>400</v>
      </c>
      <c r="Q288">
        <v>1</v>
      </c>
      <c r="R288">
        <v>400</v>
      </c>
      <c r="S288" t="s">
        <v>24</v>
      </c>
      <c r="T288" t="s">
        <v>24</v>
      </c>
      <c r="U288" t="s">
        <v>24</v>
      </c>
      <c r="V288" t="s">
        <v>25</v>
      </c>
      <c r="W288" t="s">
        <v>949</v>
      </c>
      <c r="X288" t="s">
        <v>26</v>
      </c>
      <c r="Y288" t="s">
        <v>24</v>
      </c>
    </row>
    <row r="289" spans="1:25" x14ac:dyDescent="0.35">
      <c r="A289" s="1" t="s">
        <v>950</v>
      </c>
      <c r="B289" s="1" t="s">
        <v>951</v>
      </c>
      <c r="C289" s="1" t="s">
        <v>392</v>
      </c>
      <c r="D289" s="1" t="s">
        <v>393</v>
      </c>
      <c r="E289" s="2" t="s">
        <v>2187</v>
      </c>
      <c r="F289" s="2" t="s">
        <v>1975</v>
      </c>
      <c r="G289" s="6">
        <v>380</v>
      </c>
      <c r="H289" s="8">
        <f t="shared" si="10"/>
        <v>327.58620689655174</v>
      </c>
      <c r="I289" s="2">
        <v>16</v>
      </c>
      <c r="J289" s="2">
        <f t="shared" si="9"/>
        <v>-7.3684210526314686E-3</v>
      </c>
      <c r="K289" t="s">
        <v>952</v>
      </c>
      <c r="L289">
        <v>2</v>
      </c>
      <c r="M289">
        <v>330</v>
      </c>
      <c r="N289">
        <v>330</v>
      </c>
      <c r="O289">
        <v>0</v>
      </c>
      <c r="P289">
        <v>660</v>
      </c>
      <c r="Q289">
        <v>2</v>
      </c>
      <c r="R289">
        <v>660</v>
      </c>
      <c r="S289" t="s">
        <v>24</v>
      </c>
      <c r="T289" t="s">
        <v>24</v>
      </c>
      <c r="U289" t="s">
        <v>24</v>
      </c>
      <c r="V289" t="s">
        <v>25</v>
      </c>
      <c r="W289" t="s">
        <v>952</v>
      </c>
      <c r="X289" t="s">
        <v>26</v>
      </c>
      <c r="Y289" t="s">
        <v>24</v>
      </c>
    </row>
    <row r="290" spans="1:25" x14ac:dyDescent="0.35">
      <c r="A290" s="1" t="s">
        <v>953</v>
      </c>
      <c r="B290" s="1" t="s">
        <v>954</v>
      </c>
      <c r="C290" s="1" t="s">
        <v>282</v>
      </c>
      <c r="D290" s="1" t="s">
        <v>283</v>
      </c>
      <c r="E290" s="2" t="s">
        <v>2188</v>
      </c>
      <c r="F290" s="2" t="s">
        <v>1911</v>
      </c>
      <c r="G290" s="6">
        <v>580</v>
      </c>
      <c r="H290" s="8">
        <f t="shared" si="10"/>
        <v>500.00000000000006</v>
      </c>
      <c r="I290" s="2">
        <v>16</v>
      </c>
      <c r="J290" s="2">
        <f t="shared" si="9"/>
        <v>0.66200000000000003</v>
      </c>
      <c r="K290" t="s">
        <v>955</v>
      </c>
      <c r="L290">
        <v>1</v>
      </c>
      <c r="M290">
        <v>169</v>
      </c>
      <c r="N290">
        <v>169</v>
      </c>
      <c r="O290">
        <v>0</v>
      </c>
      <c r="P290">
        <v>169</v>
      </c>
      <c r="Q290">
        <v>1</v>
      </c>
      <c r="R290">
        <v>169</v>
      </c>
      <c r="S290" t="s">
        <v>24</v>
      </c>
      <c r="T290" t="s">
        <v>24</v>
      </c>
      <c r="U290" t="s">
        <v>24</v>
      </c>
      <c r="V290" t="s">
        <v>25</v>
      </c>
      <c r="W290" t="s">
        <v>955</v>
      </c>
      <c r="X290" t="s">
        <v>26</v>
      </c>
      <c r="Y290" t="s">
        <v>24</v>
      </c>
    </row>
    <row r="291" spans="1:25" x14ac:dyDescent="0.35">
      <c r="A291" s="1" t="s">
        <v>956</v>
      </c>
      <c r="B291" s="1" t="s">
        <v>957</v>
      </c>
      <c r="C291" s="1" t="s">
        <v>691</v>
      </c>
      <c r="D291" s="1" t="s">
        <v>692</v>
      </c>
      <c r="E291" s="2" t="s">
        <v>2189</v>
      </c>
      <c r="F291" s="2" t="s">
        <v>1975</v>
      </c>
      <c r="G291" s="6">
        <v>300</v>
      </c>
      <c r="H291" s="8">
        <f t="shared" si="10"/>
        <v>258.62068965517244</v>
      </c>
      <c r="I291" s="2">
        <v>16</v>
      </c>
      <c r="J291" s="2">
        <f t="shared" si="9"/>
        <v>0.70226666666666671</v>
      </c>
      <c r="K291" t="s">
        <v>958</v>
      </c>
      <c r="L291">
        <v>1</v>
      </c>
      <c r="M291">
        <v>77</v>
      </c>
      <c r="N291">
        <v>77</v>
      </c>
      <c r="O291">
        <v>0</v>
      </c>
      <c r="P291">
        <v>77</v>
      </c>
      <c r="Q291">
        <v>1</v>
      </c>
      <c r="R291">
        <v>77</v>
      </c>
      <c r="S291" t="s">
        <v>24</v>
      </c>
      <c r="T291" t="s">
        <v>24</v>
      </c>
      <c r="U291" t="s">
        <v>24</v>
      </c>
      <c r="V291" t="s">
        <v>25</v>
      </c>
      <c r="W291" t="s">
        <v>958</v>
      </c>
      <c r="X291" t="s">
        <v>26</v>
      </c>
      <c r="Y291" t="s">
        <v>24</v>
      </c>
    </row>
    <row r="292" spans="1:25" x14ac:dyDescent="0.35">
      <c r="A292" s="1" t="s">
        <v>959</v>
      </c>
      <c r="B292" s="1" t="s">
        <v>960</v>
      </c>
      <c r="C292" s="1" t="s">
        <v>34</v>
      </c>
      <c r="D292" s="1" t="s">
        <v>35</v>
      </c>
      <c r="E292" s="2" t="s">
        <v>2190</v>
      </c>
      <c r="F292" s="2" t="s">
        <v>1975</v>
      </c>
      <c r="G292" s="6">
        <v>300</v>
      </c>
      <c r="H292" s="8">
        <f t="shared" si="10"/>
        <v>258.62068965517244</v>
      </c>
      <c r="I292" s="2">
        <v>16</v>
      </c>
      <c r="J292" s="2">
        <f t="shared" si="9"/>
        <v>0.71320933333333336</v>
      </c>
      <c r="K292" t="s">
        <v>961</v>
      </c>
      <c r="L292">
        <v>2</v>
      </c>
      <c r="M292">
        <v>74.17</v>
      </c>
      <c r="N292">
        <v>74.17</v>
      </c>
      <c r="O292">
        <v>0</v>
      </c>
      <c r="P292">
        <v>148.34</v>
      </c>
      <c r="Q292">
        <v>2</v>
      </c>
      <c r="R292">
        <v>148.34</v>
      </c>
      <c r="S292" t="s">
        <v>24</v>
      </c>
      <c r="T292" t="s">
        <v>24</v>
      </c>
      <c r="U292" t="s">
        <v>24</v>
      </c>
      <c r="V292" t="s">
        <v>25</v>
      </c>
      <c r="W292" t="s">
        <v>961</v>
      </c>
      <c r="X292" t="s">
        <v>26</v>
      </c>
      <c r="Y292" t="s">
        <v>24</v>
      </c>
    </row>
    <row r="293" spans="1:25" x14ac:dyDescent="0.35">
      <c r="A293" s="1" t="s">
        <v>962</v>
      </c>
      <c r="B293" s="1" t="s">
        <v>963</v>
      </c>
      <c r="C293" s="1" t="s">
        <v>265</v>
      </c>
      <c r="D293" s="1" t="s">
        <v>266</v>
      </c>
      <c r="E293" s="2" t="s">
        <v>2191</v>
      </c>
      <c r="F293" s="2" t="s">
        <v>2105</v>
      </c>
      <c r="G293" s="6">
        <v>500</v>
      </c>
      <c r="H293" s="8">
        <f t="shared" si="10"/>
        <v>431.0344827586207</v>
      </c>
      <c r="I293" s="2">
        <v>16</v>
      </c>
      <c r="J293" s="2">
        <f t="shared" si="9"/>
        <v>0.70860962399999994</v>
      </c>
      <c r="K293" t="s">
        <v>964</v>
      </c>
      <c r="L293">
        <v>1</v>
      </c>
      <c r="M293">
        <v>125.5993</v>
      </c>
      <c r="N293">
        <v>125.5993</v>
      </c>
      <c r="O293">
        <v>0</v>
      </c>
      <c r="P293">
        <v>125.5993</v>
      </c>
      <c r="Q293">
        <v>1</v>
      </c>
      <c r="R293">
        <v>125.6</v>
      </c>
      <c r="S293" t="s">
        <v>24</v>
      </c>
      <c r="T293" t="s">
        <v>24</v>
      </c>
      <c r="U293" t="s">
        <v>24</v>
      </c>
      <c r="V293" t="s">
        <v>25</v>
      </c>
      <c r="W293" t="s">
        <v>964</v>
      </c>
      <c r="X293" t="s">
        <v>26</v>
      </c>
      <c r="Y293" t="s">
        <v>24</v>
      </c>
    </row>
    <row r="294" spans="1:25" x14ac:dyDescent="0.35">
      <c r="A294" s="1" t="s">
        <v>965</v>
      </c>
      <c r="B294" s="1" t="s">
        <v>966</v>
      </c>
      <c r="C294" s="1" t="s">
        <v>633</v>
      </c>
      <c r="D294" s="1" t="s">
        <v>634</v>
      </c>
      <c r="E294" s="2" t="s">
        <v>2192</v>
      </c>
      <c r="F294" s="2" t="s">
        <v>2105</v>
      </c>
      <c r="G294" s="6">
        <v>100</v>
      </c>
      <c r="H294" s="8">
        <f t="shared" si="10"/>
        <v>86.206896551724142</v>
      </c>
      <c r="I294" s="2">
        <v>16</v>
      </c>
      <c r="J294" s="2">
        <f t="shared" si="9"/>
        <v>0.68378399999999995</v>
      </c>
      <c r="K294" t="s">
        <v>967</v>
      </c>
      <c r="L294">
        <v>3</v>
      </c>
      <c r="M294">
        <v>27.26</v>
      </c>
      <c r="N294">
        <v>27.26</v>
      </c>
      <c r="O294">
        <v>0</v>
      </c>
      <c r="P294">
        <v>81.78</v>
      </c>
      <c r="Q294">
        <v>3</v>
      </c>
      <c r="R294">
        <v>81.78</v>
      </c>
      <c r="S294" t="s">
        <v>24</v>
      </c>
      <c r="T294" t="s">
        <v>24</v>
      </c>
      <c r="U294" t="s">
        <v>24</v>
      </c>
      <c r="V294" t="s">
        <v>25</v>
      </c>
      <c r="W294" t="s">
        <v>967</v>
      </c>
      <c r="X294" t="s">
        <v>26</v>
      </c>
      <c r="Y294" t="s">
        <v>24</v>
      </c>
    </row>
    <row r="295" spans="1:25" x14ac:dyDescent="0.35">
      <c r="A295" s="1" t="s">
        <v>968</v>
      </c>
      <c r="B295" s="1" t="s">
        <v>969</v>
      </c>
      <c r="C295" s="1" t="s">
        <v>239</v>
      </c>
      <c r="D295" s="1" t="s">
        <v>240</v>
      </c>
      <c r="E295" s="2" t="s">
        <v>2193</v>
      </c>
      <c r="F295" s="2" t="s">
        <v>2061</v>
      </c>
      <c r="G295" s="6">
        <v>500</v>
      </c>
      <c r="H295" s="8">
        <f t="shared" si="10"/>
        <v>431.0344827586207</v>
      </c>
      <c r="I295" s="2">
        <v>16</v>
      </c>
      <c r="J295" s="2">
        <f t="shared" si="9"/>
        <v>0.67953839999999999</v>
      </c>
      <c r="K295" t="s">
        <v>970</v>
      </c>
      <c r="L295">
        <v>1</v>
      </c>
      <c r="M295">
        <v>138.13</v>
      </c>
      <c r="N295">
        <v>138.13</v>
      </c>
      <c r="O295">
        <v>0</v>
      </c>
      <c r="P295">
        <v>138.13</v>
      </c>
      <c r="Q295">
        <v>1</v>
      </c>
      <c r="R295">
        <v>138.13</v>
      </c>
      <c r="S295" t="s">
        <v>24</v>
      </c>
      <c r="T295" t="s">
        <v>24</v>
      </c>
      <c r="U295" t="s">
        <v>24</v>
      </c>
      <c r="V295" t="s">
        <v>25</v>
      </c>
      <c r="W295" t="s">
        <v>970</v>
      </c>
      <c r="X295" t="s">
        <v>26</v>
      </c>
      <c r="Y295" t="s">
        <v>24</v>
      </c>
    </row>
    <row r="296" spans="1:25" x14ac:dyDescent="0.35">
      <c r="A296" s="1" t="s">
        <v>971</v>
      </c>
      <c r="B296" s="1" t="s">
        <v>972</v>
      </c>
      <c r="C296" s="1" t="s">
        <v>239</v>
      </c>
      <c r="D296" s="1" t="s">
        <v>240</v>
      </c>
      <c r="E296" s="2" t="s">
        <v>2194</v>
      </c>
      <c r="F296" s="2" t="s">
        <v>2061</v>
      </c>
      <c r="G296" s="6">
        <v>440</v>
      </c>
      <c r="H296" s="8">
        <f t="shared" si="10"/>
        <v>379.31034482758622</v>
      </c>
      <c r="I296" s="2">
        <v>16</v>
      </c>
      <c r="J296" s="2">
        <f t="shared" si="9"/>
        <v>0.74638181818181826</v>
      </c>
      <c r="K296" t="s">
        <v>973</v>
      </c>
      <c r="L296">
        <v>2</v>
      </c>
      <c r="M296">
        <v>96.2</v>
      </c>
      <c r="N296">
        <v>96.2</v>
      </c>
      <c r="O296">
        <v>0</v>
      </c>
      <c r="P296">
        <v>192.4</v>
      </c>
      <c r="Q296">
        <v>2</v>
      </c>
      <c r="R296">
        <v>192.4</v>
      </c>
      <c r="S296" t="s">
        <v>24</v>
      </c>
      <c r="T296" t="s">
        <v>24</v>
      </c>
      <c r="U296" t="s">
        <v>24</v>
      </c>
      <c r="V296" t="s">
        <v>25</v>
      </c>
      <c r="W296" t="s">
        <v>973</v>
      </c>
      <c r="X296" t="s">
        <v>26</v>
      </c>
      <c r="Y296" t="s">
        <v>24</v>
      </c>
    </row>
    <row r="297" spans="1:25" x14ac:dyDescent="0.35">
      <c r="A297" s="1" t="s">
        <v>974</v>
      </c>
      <c r="B297" s="1" t="s">
        <v>975</v>
      </c>
      <c r="C297" s="1" t="s">
        <v>239</v>
      </c>
      <c r="D297" s="1" t="s">
        <v>240</v>
      </c>
      <c r="E297" s="2" t="s">
        <v>2195</v>
      </c>
      <c r="F297" s="2" t="s">
        <v>2061</v>
      </c>
      <c r="G297" s="6">
        <v>1080</v>
      </c>
      <c r="H297" s="8">
        <f t="shared" si="10"/>
        <v>931.0344827586207</v>
      </c>
      <c r="I297" s="2">
        <v>16</v>
      </c>
      <c r="J297" s="2">
        <f t="shared" si="9"/>
        <v>0.63962666666666668</v>
      </c>
      <c r="K297" t="s">
        <v>976</v>
      </c>
      <c r="L297">
        <v>1</v>
      </c>
      <c r="M297">
        <v>335.52</v>
      </c>
      <c r="N297">
        <v>335.52</v>
      </c>
      <c r="O297">
        <v>0</v>
      </c>
      <c r="P297">
        <v>335.52</v>
      </c>
      <c r="Q297">
        <v>1</v>
      </c>
      <c r="R297">
        <v>335.52</v>
      </c>
      <c r="S297" t="s">
        <v>24</v>
      </c>
      <c r="T297" t="s">
        <v>24</v>
      </c>
      <c r="U297" t="s">
        <v>24</v>
      </c>
      <c r="V297" t="s">
        <v>25</v>
      </c>
      <c r="W297" t="s">
        <v>976</v>
      </c>
      <c r="X297" t="s">
        <v>26</v>
      </c>
      <c r="Y297" t="s">
        <v>24</v>
      </c>
    </row>
    <row r="298" spans="1:25" x14ac:dyDescent="0.35">
      <c r="A298" s="1" t="s">
        <v>977</v>
      </c>
      <c r="B298" s="1" t="s">
        <v>978</v>
      </c>
      <c r="C298" s="1" t="s">
        <v>537</v>
      </c>
      <c r="D298" s="1" t="s">
        <v>538</v>
      </c>
      <c r="E298" s="2" t="s">
        <v>2196</v>
      </c>
      <c r="F298" s="2" t="s">
        <v>2061</v>
      </c>
      <c r="G298" s="6">
        <v>200</v>
      </c>
      <c r="H298" s="8">
        <f t="shared" si="10"/>
        <v>200</v>
      </c>
      <c r="I298" s="2">
        <v>0</v>
      </c>
      <c r="J298" s="2">
        <f t="shared" si="9"/>
        <v>0.87397499999999995</v>
      </c>
      <c r="K298" t="s">
        <v>979</v>
      </c>
      <c r="L298">
        <v>2</v>
      </c>
      <c r="M298">
        <v>25.204999999999998</v>
      </c>
      <c r="N298">
        <v>25.204999999999998</v>
      </c>
      <c r="O298">
        <v>0</v>
      </c>
      <c r="P298">
        <v>50.41</v>
      </c>
      <c r="Q298">
        <v>2</v>
      </c>
      <c r="R298">
        <v>50.41</v>
      </c>
      <c r="S298" t="s">
        <v>24</v>
      </c>
      <c r="T298" t="s">
        <v>24</v>
      </c>
      <c r="U298" t="s">
        <v>24</v>
      </c>
      <c r="V298" t="s">
        <v>25</v>
      </c>
      <c r="W298" t="s">
        <v>979</v>
      </c>
      <c r="X298" t="s">
        <v>26</v>
      </c>
      <c r="Y298" t="s">
        <v>24</v>
      </c>
    </row>
    <row r="299" spans="1:25" x14ac:dyDescent="0.35">
      <c r="A299" s="1" t="s">
        <v>980</v>
      </c>
      <c r="B299" s="1" t="s">
        <v>981</v>
      </c>
      <c r="C299" s="1" t="s">
        <v>537</v>
      </c>
      <c r="D299" s="1" t="s">
        <v>538</v>
      </c>
      <c r="E299" s="2" t="s">
        <v>2197</v>
      </c>
      <c r="F299" s="2" t="s">
        <v>2061</v>
      </c>
      <c r="G299" s="6">
        <v>140</v>
      </c>
      <c r="H299" s="8">
        <f t="shared" si="10"/>
        <v>120.68965517241381</v>
      </c>
      <c r="I299" s="2">
        <v>16</v>
      </c>
      <c r="J299" s="2">
        <f t="shared" si="9"/>
        <v>0.6331500000000001</v>
      </c>
      <c r="K299" t="s">
        <v>982</v>
      </c>
      <c r="L299">
        <v>2</v>
      </c>
      <c r="M299">
        <v>44.274999999999999</v>
      </c>
      <c r="N299">
        <v>44.274999999999999</v>
      </c>
      <c r="O299">
        <v>0</v>
      </c>
      <c r="P299">
        <v>88.55</v>
      </c>
      <c r="Q299">
        <v>2</v>
      </c>
      <c r="R299">
        <v>88.55</v>
      </c>
      <c r="S299" t="s">
        <v>24</v>
      </c>
      <c r="T299" t="s">
        <v>24</v>
      </c>
      <c r="U299" t="s">
        <v>24</v>
      </c>
      <c r="V299" t="s">
        <v>25</v>
      </c>
      <c r="W299" t="s">
        <v>982</v>
      </c>
      <c r="X299" t="s">
        <v>26</v>
      </c>
      <c r="Y299" t="s">
        <v>24</v>
      </c>
    </row>
    <row r="300" spans="1:25" x14ac:dyDescent="0.35">
      <c r="A300" s="1" t="s">
        <v>983</v>
      </c>
      <c r="B300" s="1" t="s">
        <v>984</v>
      </c>
      <c r="C300" s="1" t="s">
        <v>295</v>
      </c>
      <c r="D300" s="1" t="s">
        <v>296</v>
      </c>
      <c r="E300" s="2" t="s">
        <v>2198</v>
      </c>
      <c r="F300" s="2" t="s">
        <v>1975</v>
      </c>
      <c r="G300" s="6">
        <v>1440</v>
      </c>
      <c r="H300" s="8">
        <f t="shared" si="10"/>
        <v>1241.3793103448277</v>
      </c>
      <c r="I300" s="2">
        <v>16</v>
      </c>
      <c r="J300" s="2">
        <f t="shared" si="9"/>
        <v>0.70113888888888898</v>
      </c>
      <c r="K300" t="s">
        <v>985</v>
      </c>
      <c r="L300">
        <v>1</v>
      </c>
      <c r="M300">
        <v>371</v>
      </c>
      <c r="N300">
        <v>371</v>
      </c>
      <c r="O300">
        <v>0</v>
      </c>
      <c r="P300">
        <v>371</v>
      </c>
      <c r="Q300">
        <v>1</v>
      </c>
      <c r="R300">
        <v>371</v>
      </c>
      <c r="S300" t="s">
        <v>24</v>
      </c>
      <c r="T300" t="s">
        <v>24</v>
      </c>
      <c r="U300" t="s">
        <v>24</v>
      </c>
      <c r="V300" t="s">
        <v>25</v>
      </c>
      <c r="W300" t="s">
        <v>985</v>
      </c>
      <c r="X300" t="s">
        <v>26</v>
      </c>
      <c r="Y300" t="s">
        <v>24</v>
      </c>
    </row>
    <row r="301" spans="1:25" x14ac:dyDescent="0.35">
      <c r="A301" s="1" t="s">
        <v>986</v>
      </c>
      <c r="B301" s="1" t="s">
        <v>987</v>
      </c>
      <c r="C301" s="1" t="s">
        <v>34</v>
      </c>
      <c r="D301" s="1" t="s">
        <v>35</v>
      </c>
      <c r="E301" s="2" t="s">
        <v>2199</v>
      </c>
      <c r="F301" s="2" t="s">
        <v>1975</v>
      </c>
      <c r="G301" s="6">
        <v>1860</v>
      </c>
      <c r="H301" s="8">
        <f t="shared" si="10"/>
        <v>1603.4482758620691</v>
      </c>
      <c r="I301" s="2">
        <v>16</v>
      </c>
      <c r="J301" s="2">
        <f t="shared" si="9"/>
        <v>0.70064516129032262</v>
      </c>
      <c r="K301" t="s">
        <v>988</v>
      </c>
      <c r="L301">
        <v>3</v>
      </c>
      <c r="M301">
        <v>480</v>
      </c>
      <c r="N301">
        <v>480</v>
      </c>
      <c r="O301">
        <v>0</v>
      </c>
      <c r="P301">
        <v>1440</v>
      </c>
      <c r="Q301">
        <v>3</v>
      </c>
      <c r="R301">
        <v>1440</v>
      </c>
      <c r="S301" t="s">
        <v>24</v>
      </c>
      <c r="T301" t="s">
        <v>24</v>
      </c>
      <c r="U301" t="s">
        <v>24</v>
      </c>
      <c r="V301" t="s">
        <v>25</v>
      </c>
      <c r="W301" t="s">
        <v>988</v>
      </c>
      <c r="X301" t="s">
        <v>26</v>
      </c>
      <c r="Y301" t="s">
        <v>24</v>
      </c>
    </row>
    <row r="302" spans="1:25" x14ac:dyDescent="0.35">
      <c r="A302" s="1" t="s">
        <v>989</v>
      </c>
      <c r="B302" s="1" t="s">
        <v>990</v>
      </c>
      <c r="C302" s="1" t="s">
        <v>295</v>
      </c>
      <c r="D302" s="1" t="s">
        <v>296</v>
      </c>
      <c r="E302" s="2" t="s">
        <v>2200</v>
      </c>
      <c r="F302" s="2" t="s">
        <v>1975</v>
      </c>
      <c r="G302" s="6">
        <v>1380</v>
      </c>
      <c r="H302" s="8">
        <f t="shared" si="10"/>
        <v>1189.6551724137933</v>
      </c>
      <c r="I302" s="2">
        <v>16</v>
      </c>
      <c r="J302" s="2">
        <f t="shared" si="9"/>
        <v>0.72176811594202905</v>
      </c>
      <c r="K302" t="s">
        <v>991</v>
      </c>
      <c r="L302">
        <v>1</v>
      </c>
      <c r="M302">
        <v>331</v>
      </c>
      <c r="N302">
        <v>331</v>
      </c>
      <c r="O302">
        <v>0</v>
      </c>
      <c r="P302">
        <v>331</v>
      </c>
      <c r="Q302">
        <v>1</v>
      </c>
      <c r="R302">
        <v>331</v>
      </c>
      <c r="S302" t="s">
        <v>24</v>
      </c>
      <c r="T302" t="s">
        <v>24</v>
      </c>
      <c r="U302" t="s">
        <v>24</v>
      </c>
      <c r="V302" t="s">
        <v>25</v>
      </c>
      <c r="W302" t="s">
        <v>991</v>
      </c>
      <c r="X302" t="s">
        <v>26</v>
      </c>
      <c r="Y302" t="s">
        <v>24</v>
      </c>
    </row>
    <row r="303" spans="1:25" x14ac:dyDescent="0.35">
      <c r="A303" s="1" t="s">
        <v>992</v>
      </c>
      <c r="B303" s="1" t="s">
        <v>993</v>
      </c>
      <c r="C303" s="1" t="s">
        <v>295</v>
      </c>
      <c r="D303" s="1" t="s">
        <v>296</v>
      </c>
      <c r="E303" s="2" t="s">
        <v>2201</v>
      </c>
      <c r="F303" s="2" t="s">
        <v>1975</v>
      </c>
      <c r="G303" s="6">
        <v>980</v>
      </c>
      <c r="H303" s="8">
        <f t="shared" si="10"/>
        <v>844.82758620689663</v>
      </c>
      <c r="I303" s="2">
        <v>16</v>
      </c>
      <c r="J303" s="2">
        <f t="shared" si="9"/>
        <v>0.72775510204081639</v>
      </c>
      <c r="K303" t="s">
        <v>994</v>
      </c>
      <c r="L303">
        <v>2</v>
      </c>
      <c r="M303">
        <v>230</v>
      </c>
      <c r="N303">
        <v>230</v>
      </c>
      <c r="O303">
        <v>0</v>
      </c>
      <c r="P303">
        <v>460</v>
      </c>
      <c r="Q303">
        <v>2</v>
      </c>
      <c r="R303">
        <v>460</v>
      </c>
      <c r="S303" t="s">
        <v>24</v>
      </c>
      <c r="T303" t="s">
        <v>24</v>
      </c>
      <c r="U303" t="s">
        <v>24</v>
      </c>
      <c r="V303" t="s">
        <v>25</v>
      </c>
      <c r="W303" t="s">
        <v>994</v>
      </c>
      <c r="X303" t="s">
        <v>26</v>
      </c>
      <c r="Y303" t="s">
        <v>24</v>
      </c>
    </row>
    <row r="304" spans="1:25" x14ac:dyDescent="0.35">
      <c r="A304" s="1" t="s">
        <v>995</v>
      </c>
      <c r="B304" s="1" t="s">
        <v>996</v>
      </c>
      <c r="C304" s="1" t="s">
        <v>387</v>
      </c>
      <c r="D304" s="1" t="s">
        <v>388</v>
      </c>
      <c r="E304" s="2" t="s">
        <v>2202</v>
      </c>
      <c r="F304" s="2" t="s">
        <v>1994</v>
      </c>
      <c r="G304" s="6">
        <v>340</v>
      </c>
      <c r="H304" s="8">
        <f t="shared" si="10"/>
        <v>293.10344827586209</v>
      </c>
      <c r="I304" s="2">
        <v>16</v>
      </c>
      <c r="J304" s="2">
        <f t="shared" si="9"/>
        <v>0.72061058823529411</v>
      </c>
      <c r="K304" t="s">
        <v>997</v>
      </c>
      <c r="L304">
        <v>1</v>
      </c>
      <c r="M304">
        <v>81.89</v>
      </c>
      <c r="N304">
        <v>81.89</v>
      </c>
      <c r="O304">
        <v>0</v>
      </c>
      <c r="P304">
        <v>81.89</v>
      </c>
      <c r="Q304">
        <v>1</v>
      </c>
      <c r="R304">
        <v>81.89</v>
      </c>
      <c r="S304" t="s">
        <v>24</v>
      </c>
      <c r="T304" t="s">
        <v>24</v>
      </c>
      <c r="U304" t="s">
        <v>24</v>
      </c>
      <c r="V304" t="s">
        <v>25</v>
      </c>
      <c r="W304" t="s">
        <v>997</v>
      </c>
      <c r="X304" t="s">
        <v>26</v>
      </c>
      <c r="Y304" t="s">
        <v>24</v>
      </c>
    </row>
    <row r="305" spans="1:25" x14ac:dyDescent="0.35">
      <c r="A305" s="1" t="s">
        <v>998</v>
      </c>
      <c r="B305" s="1" t="s">
        <v>999</v>
      </c>
      <c r="C305" s="1" t="s">
        <v>387</v>
      </c>
      <c r="D305" s="1" t="s">
        <v>388</v>
      </c>
      <c r="E305" s="2" t="s">
        <v>2203</v>
      </c>
      <c r="F305" s="2" t="s">
        <v>1994</v>
      </c>
      <c r="G305" s="6">
        <v>340</v>
      </c>
      <c r="H305" s="8">
        <f t="shared" si="10"/>
        <v>293.10344827586209</v>
      </c>
      <c r="I305" s="2">
        <v>16</v>
      </c>
      <c r="J305" s="2">
        <f t="shared" si="9"/>
        <v>0.72061058823529411</v>
      </c>
      <c r="K305" t="s">
        <v>1000</v>
      </c>
      <c r="L305">
        <v>8</v>
      </c>
      <c r="M305">
        <v>81.89</v>
      </c>
      <c r="N305">
        <v>81.89</v>
      </c>
      <c r="O305">
        <v>0</v>
      </c>
      <c r="P305">
        <v>655.12</v>
      </c>
      <c r="Q305">
        <v>8</v>
      </c>
      <c r="R305">
        <v>655.12</v>
      </c>
      <c r="S305" t="s">
        <v>24</v>
      </c>
      <c r="T305" t="s">
        <v>24</v>
      </c>
      <c r="U305" t="s">
        <v>24</v>
      </c>
      <c r="V305" t="s">
        <v>25</v>
      </c>
      <c r="W305" t="s">
        <v>1000</v>
      </c>
      <c r="X305" t="s">
        <v>26</v>
      </c>
      <c r="Y305" t="s">
        <v>24</v>
      </c>
    </row>
    <row r="306" spans="1:25" x14ac:dyDescent="0.35">
      <c r="A306" s="1" t="s">
        <v>1001</v>
      </c>
      <c r="B306" s="1" t="s">
        <v>1002</v>
      </c>
      <c r="C306" s="1" t="s">
        <v>844</v>
      </c>
      <c r="D306" s="1" t="s">
        <v>845</v>
      </c>
      <c r="E306" s="2" t="s">
        <v>2204</v>
      </c>
      <c r="F306" s="2" t="s">
        <v>1975</v>
      </c>
      <c r="G306" s="6">
        <v>2775</v>
      </c>
      <c r="H306" s="8">
        <f t="shared" si="10"/>
        <v>2392.2413793103451</v>
      </c>
      <c r="I306" s="2">
        <v>16</v>
      </c>
      <c r="J306" s="2">
        <f t="shared" si="9"/>
        <v>0.77273756540540539</v>
      </c>
      <c r="K306" t="s">
        <v>1003</v>
      </c>
      <c r="L306">
        <v>1</v>
      </c>
      <c r="M306">
        <v>543.66660000000002</v>
      </c>
      <c r="N306">
        <v>543.66660000000002</v>
      </c>
      <c r="O306">
        <v>0</v>
      </c>
      <c r="P306">
        <v>543.66660000000002</v>
      </c>
      <c r="Q306">
        <v>1</v>
      </c>
      <c r="R306">
        <v>543.66999999999996</v>
      </c>
      <c r="S306" t="s">
        <v>24</v>
      </c>
      <c r="T306" t="s">
        <v>24</v>
      </c>
      <c r="U306" t="s">
        <v>24</v>
      </c>
      <c r="V306" t="s">
        <v>25</v>
      </c>
      <c r="W306" t="s">
        <v>1003</v>
      </c>
      <c r="X306" t="s">
        <v>26</v>
      </c>
      <c r="Y306" t="s">
        <v>24</v>
      </c>
    </row>
    <row r="307" spans="1:25" x14ac:dyDescent="0.35">
      <c r="A307" s="1" t="s">
        <v>1004</v>
      </c>
      <c r="B307" s="1" t="s">
        <v>1005</v>
      </c>
      <c r="C307" s="1" t="s">
        <v>392</v>
      </c>
      <c r="D307" s="1" t="s">
        <v>393</v>
      </c>
      <c r="E307" s="2" t="s">
        <v>2205</v>
      </c>
      <c r="F307" s="2" t="s">
        <v>1975</v>
      </c>
      <c r="G307" s="6">
        <v>940</v>
      </c>
      <c r="H307" s="8">
        <f t="shared" si="10"/>
        <v>810.34482758620697</v>
      </c>
      <c r="I307" s="2">
        <v>16</v>
      </c>
      <c r="J307" s="2">
        <f t="shared" si="9"/>
        <v>0.50638297872340432</v>
      </c>
      <c r="K307" t="s">
        <v>1006</v>
      </c>
      <c r="L307">
        <v>1</v>
      </c>
      <c r="M307">
        <v>400</v>
      </c>
      <c r="N307">
        <v>400</v>
      </c>
      <c r="O307">
        <v>0</v>
      </c>
      <c r="P307">
        <v>400</v>
      </c>
      <c r="Q307">
        <v>1</v>
      </c>
      <c r="R307">
        <v>400</v>
      </c>
      <c r="S307" t="s">
        <v>24</v>
      </c>
      <c r="T307" t="s">
        <v>24</v>
      </c>
      <c r="U307" t="s">
        <v>24</v>
      </c>
      <c r="V307" t="s">
        <v>25</v>
      </c>
      <c r="W307" t="s">
        <v>1006</v>
      </c>
      <c r="X307" t="s">
        <v>26</v>
      </c>
      <c r="Y307" t="s">
        <v>24</v>
      </c>
    </row>
    <row r="308" spans="1:25" x14ac:dyDescent="0.35">
      <c r="A308" s="1" t="s">
        <v>1007</v>
      </c>
      <c r="B308" s="1" t="s">
        <v>1008</v>
      </c>
      <c r="C308" s="1" t="s">
        <v>392</v>
      </c>
      <c r="D308" s="1" t="s">
        <v>393</v>
      </c>
      <c r="E308" s="2" t="s">
        <v>2206</v>
      </c>
      <c r="F308" s="2" t="s">
        <v>1975</v>
      </c>
      <c r="G308" s="6">
        <v>1100</v>
      </c>
      <c r="H308" s="8">
        <f t="shared" si="10"/>
        <v>948.27586206896558</v>
      </c>
      <c r="I308" s="2">
        <v>16</v>
      </c>
      <c r="J308" s="2">
        <f t="shared" si="9"/>
        <v>0.69945454545454555</v>
      </c>
      <c r="K308" t="s">
        <v>1009</v>
      </c>
      <c r="L308">
        <v>1</v>
      </c>
      <c r="M308">
        <v>285</v>
      </c>
      <c r="N308">
        <v>285</v>
      </c>
      <c r="O308">
        <v>0</v>
      </c>
      <c r="P308">
        <v>285</v>
      </c>
      <c r="Q308">
        <v>1</v>
      </c>
      <c r="R308">
        <v>285</v>
      </c>
      <c r="S308" t="s">
        <v>24</v>
      </c>
      <c r="T308" t="s">
        <v>24</v>
      </c>
      <c r="U308" t="s">
        <v>24</v>
      </c>
      <c r="V308" t="s">
        <v>25</v>
      </c>
      <c r="W308" t="s">
        <v>1009</v>
      </c>
      <c r="X308" t="s">
        <v>26</v>
      </c>
      <c r="Y308" t="s">
        <v>24</v>
      </c>
    </row>
    <row r="309" spans="1:25" x14ac:dyDescent="0.35">
      <c r="A309" s="1" t="s">
        <v>1010</v>
      </c>
      <c r="B309" s="1" t="s">
        <v>1011</v>
      </c>
      <c r="C309" s="1" t="s">
        <v>392</v>
      </c>
      <c r="D309" s="1" t="s">
        <v>393</v>
      </c>
      <c r="E309" s="2" t="s">
        <v>2207</v>
      </c>
      <c r="F309" s="2" t="s">
        <v>1975</v>
      </c>
      <c r="G309" s="6">
        <v>380</v>
      </c>
      <c r="H309" s="8">
        <f t="shared" si="10"/>
        <v>327.58620689655174</v>
      </c>
      <c r="I309" s="2">
        <v>16</v>
      </c>
      <c r="J309" s="2">
        <f t="shared" si="9"/>
        <v>-7.3684210526314686E-3</v>
      </c>
      <c r="K309" t="s">
        <v>1012</v>
      </c>
      <c r="L309">
        <v>1</v>
      </c>
      <c r="M309">
        <v>330</v>
      </c>
      <c r="N309">
        <v>330</v>
      </c>
      <c r="O309">
        <v>0</v>
      </c>
      <c r="P309">
        <v>330</v>
      </c>
      <c r="Q309">
        <v>1</v>
      </c>
      <c r="R309">
        <v>330</v>
      </c>
      <c r="S309" t="s">
        <v>24</v>
      </c>
      <c r="T309" t="s">
        <v>24</v>
      </c>
      <c r="U309" t="s">
        <v>24</v>
      </c>
      <c r="V309" t="s">
        <v>25</v>
      </c>
      <c r="W309" t="s">
        <v>1012</v>
      </c>
      <c r="X309" t="s">
        <v>26</v>
      </c>
      <c r="Y309" t="s">
        <v>24</v>
      </c>
    </row>
    <row r="310" spans="1:25" x14ac:dyDescent="0.35">
      <c r="A310" s="1" t="s">
        <v>1013</v>
      </c>
      <c r="B310" s="1" t="s">
        <v>1014</v>
      </c>
      <c r="C310" s="1" t="s">
        <v>392</v>
      </c>
      <c r="D310" s="1" t="s">
        <v>393</v>
      </c>
      <c r="E310" s="2" t="s">
        <v>2208</v>
      </c>
      <c r="F310" s="2" t="s">
        <v>1975</v>
      </c>
      <c r="G310" s="6">
        <v>380</v>
      </c>
      <c r="H310" s="8">
        <f t="shared" si="10"/>
        <v>327.58620689655174</v>
      </c>
      <c r="I310" s="2">
        <v>16</v>
      </c>
      <c r="J310" s="2">
        <f t="shared" si="9"/>
        <v>-7.3684210526314686E-3</v>
      </c>
      <c r="K310" t="s">
        <v>1015</v>
      </c>
      <c r="L310">
        <v>2</v>
      </c>
      <c r="M310">
        <v>330</v>
      </c>
      <c r="N310">
        <v>330</v>
      </c>
      <c r="O310">
        <v>0</v>
      </c>
      <c r="P310">
        <v>660</v>
      </c>
      <c r="Q310">
        <v>2</v>
      </c>
      <c r="R310">
        <v>660</v>
      </c>
      <c r="S310" t="s">
        <v>24</v>
      </c>
      <c r="T310" t="s">
        <v>24</v>
      </c>
      <c r="U310" t="s">
        <v>24</v>
      </c>
      <c r="V310" t="s">
        <v>25</v>
      </c>
      <c r="W310" t="s">
        <v>1015</v>
      </c>
      <c r="X310" t="s">
        <v>26</v>
      </c>
      <c r="Y310" t="s">
        <v>24</v>
      </c>
    </row>
    <row r="311" spans="1:25" x14ac:dyDescent="0.35">
      <c r="A311" s="1" t="s">
        <v>1016</v>
      </c>
      <c r="B311" s="1" t="s">
        <v>1017</v>
      </c>
      <c r="C311" s="1" t="s">
        <v>249</v>
      </c>
      <c r="D311" s="1" t="s">
        <v>250</v>
      </c>
      <c r="E311" s="2" t="s">
        <v>2209</v>
      </c>
      <c r="F311" s="2" t="s">
        <v>1975</v>
      </c>
      <c r="G311" s="6">
        <v>2220</v>
      </c>
      <c r="H311" s="8">
        <f t="shared" si="10"/>
        <v>1913.793103448276</v>
      </c>
      <c r="I311" s="2">
        <v>16</v>
      </c>
      <c r="J311" s="2">
        <f t="shared" si="9"/>
        <v>0.66558558558558567</v>
      </c>
      <c r="K311" t="s">
        <v>1018</v>
      </c>
      <c r="L311">
        <v>1</v>
      </c>
      <c r="M311">
        <v>640</v>
      </c>
      <c r="N311">
        <v>640</v>
      </c>
      <c r="O311">
        <v>0</v>
      </c>
      <c r="P311">
        <v>640</v>
      </c>
      <c r="Q311">
        <v>1</v>
      </c>
      <c r="R311">
        <v>640</v>
      </c>
      <c r="S311" t="s">
        <v>24</v>
      </c>
      <c r="T311" t="s">
        <v>24</v>
      </c>
      <c r="U311" t="s">
        <v>24</v>
      </c>
      <c r="V311" t="s">
        <v>25</v>
      </c>
      <c r="W311" t="s">
        <v>1018</v>
      </c>
      <c r="X311" t="s">
        <v>26</v>
      </c>
      <c r="Y311" t="s">
        <v>24</v>
      </c>
    </row>
    <row r="312" spans="1:25" x14ac:dyDescent="0.35">
      <c r="A312" s="1" t="s">
        <v>1019</v>
      </c>
      <c r="B312" s="1" t="s">
        <v>1020</v>
      </c>
      <c r="C312" s="1" t="s">
        <v>34</v>
      </c>
      <c r="D312" s="1" t="s">
        <v>35</v>
      </c>
      <c r="E312" s="2" t="s">
        <v>2210</v>
      </c>
      <c r="F312" s="2" t="s">
        <v>1975</v>
      </c>
      <c r="G312" s="6">
        <v>2600</v>
      </c>
      <c r="H312" s="8">
        <f t="shared" si="10"/>
        <v>2241.3793103448279</v>
      </c>
      <c r="I312" s="2">
        <v>16</v>
      </c>
      <c r="J312" s="2">
        <f t="shared" si="9"/>
        <v>0.7327538461538462</v>
      </c>
      <c r="K312" t="s">
        <v>1021</v>
      </c>
      <c r="L312">
        <v>1</v>
      </c>
      <c r="M312">
        <v>599</v>
      </c>
      <c r="N312">
        <v>599</v>
      </c>
      <c r="O312">
        <v>0</v>
      </c>
      <c r="P312">
        <v>599</v>
      </c>
      <c r="Q312">
        <v>1</v>
      </c>
      <c r="R312">
        <v>599</v>
      </c>
      <c r="S312" t="s">
        <v>24</v>
      </c>
      <c r="T312" t="s">
        <v>24</v>
      </c>
      <c r="U312" t="s">
        <v>24</v>
      </c>
      <c r="V312" t="s">
        <v>25</v>
      </c>
      <c r="W312" t="s">
        <v>1021</v>
      </c>
      <c r="X312" t="s">
        <v>26</v>
      </c>
      <c r="Y312" t="s">
        <v>24</v>
      </c>
    </row>
    <row r="313" spans="1:25" x14ac:dyDescent="0.35">
      <c r="A313" s="1" t="s">
        <v>1022</v>
      </c>
      <c r="B313" s="1" t="s">
        <v>1023</v>
      </c>
      <c r="C313" s="1" t="s">
        <v>392</v>
      </c>
      <c r="D313" s="1" t="s">
        <v>393</v>
      </c>
      <c r="E313" s="2" t="s">
        <v>2211</v>
      </c>
      <c r="F313" s="2" t="s">
        <v>1975</v>
      </c>
      <c r="G313" s="6">
        <v>840</v>
      </c>
      <c r="H313" s="8">
        <f t="shared" si="10"/>
        <v>724.13793103448279</v>
      </c>
      <c r="I313" s="2">
        <v>16</v>
      </c>
      <c r="J313" s="2">
        <f t="shared" si="9"/>
        <v>0.51666666666666661</v>
      </c>
      <c r="K313" t="s">
        <v>1024</v>
      </c>
      <c r="L313">
        <v>1</v>
      </c>
      <c r="M313">
        <v>350</v>
      </c>
      <c r="N313">
        <v>350</v>
      </c>
      <c r="O313">
        <v>0</v>
      </c>
      <c r="P313">
        <v>350</v>
      </c>
      <c r="Q313">
        <v>1</v>
      </c>
      <c r="R313">
        <v>350</v>
      </c>
      <c r="S313" t="s">
        <v>24</v>
      </c>
      <c r="T313" t="s">
        <v>24</v>
      </c>
      <c r="U313" t="s">
        <v>24</v>
      </c>
      <c r="V313" t="s">
        <v>25</v>
      </c>
      <c r="W313" t="s">
        <v>1024</v>
      </c>
      <c r="X313" t="s">
        <v>26</v>
      </c>
      <c r="Y313" t="s">
        <v>24</v>
      </c>
    </row>
    <row r="314" spans="1:25" x14ac:dyDescent="0.35">
      <c r="A314" s="1" t="s">
        <v>1025</v>
      </c>
      <c r="B314" s="1" t="s">
        <v>1026</v>
      </c>
      <c r="C314" s="1" t="s">
        <v>392</v>
      </c>
      <c r="D314" s="1" t="s">
        <v>393</v>
      </c>
      <c r="E314" s="2" t="s">
        <v>2212</v>
      </c>
      <c r="F314" s="2" t="s">
        <v>1975</v>
      </c>
      <c r="G314" s="6">
        <v>380</v>
      </c>
      <c r="H314" s="8">
        <f t="shared" si="10"/>
        <v>327.58620689655174</v>
      </c>
      <c r="I314" s="2">
        <v>16</v>
      </c>
      <c r="J314" s="2">
        <f t="shared" si="9"/>
        <v>3.8421052631579022E-2</v>
      </c>
      <c r="K314" t="s">
        <v>1027</v>
      </c>
      <c r="L314">
        <v>4</v>
      </c>
      <c r="M314">
        <v>315</v>
      </c>
      <c r="N314">
        <v>315</v>
      </c>
      <c r="O314">
        <v>0</v>
      </c>
      <c r="P314">
        <v>1260</v>
      </c>
      <c r="Q314">
        <v>4</v>
      </c>
      <c r="R314">
        <v>1260</v>
      </c>
      <c r="S314" t="s">
        <v>24</v>
      </c>
      <c r="T314" t="s">
        <v>24</v>
      </c>
      <c r="U314" t="s">
        <v>24</v>
      </c>
      <c r="V314" t="s">
        <v>25</v>
      </c>
      <c r="W314" t="s">
        <v>1027</v>
      </c>
      <c r="X314" t="s">
        <v>26</v>
      </c>
      <c r="Y314" t="s">
        <v>24</v>
      </c>
    </row>
    <row r="315" spans="1:25" x14ac:dyDescent="0.35">
      <c r="A315" s="1" t="s">
        <v>1028</v>
      </c>
      <c r="B315" s="1" t="s">
        <v>1029</v>
      </c>
      <c r="C315" s="1" t="s">
        <v>392</v>
      </c>
      <c r="D315" s="1" t="s">
        <v>393</v>
      </c>
      <c r="E315" s="2" t="s">
        <v>2213</v>
      </c>
      <c r="F315" s="2" t="s">
        <v>1975</v>
      </c>
      <c r="G315" s="6">
        <v>1180</v>
      </c>
      <c r="H315" s="8">
        <f t="shared" si="10"/>
        <v>1017.2413793103449</v>
      </c>
      <c r="I315" s="2">
        <v>16</v>
      </c>
      <c r="J315" s="2">
        <f t="shared" si="9"/>
        <v>0.66576271186440672</v>
      </c>
      <c r="K315" t="s">
        <v>1030</v>
      </c>
      <c r="L315">
        <v>3</v>
      </c>
      <c r="M315">
        <v>340</v>
      </c>
      <c r="N315">
        <v>340</v>
      </c>
      <c r="O315">
        <v>0</v>
      </c>
      <c r="P315">
        <v>1020</v>
      </c>
      <c r="Q315">
        <v>3</v>
      </c>
      <c r="R315">
        <v>1020</v>
      </c>
      <c r="S315" t="s">
        <v>24</v>
      </c>
      <c r="T315" t="s">
        <v>24</v>
      </c>
      <c r="U315" t="s">
        <v>24</v>
      </c>
      <c r="V315" t="s">
        <v>25</v>
      </c>
      <c r="W315" t="s">
        <v>1030</v>
      </c>
      <c r="X315" t="s">
        <v>26</v>
      </c>
      <c r="Y315" t="s">
        <v>24</v>
      </c>
    </row>
    <row r="316" spans="1:25" x14ac:dyDescent="0.35">
      <c r="A316" s="1" t="s">
        <v>1031</v>
      </c>
      <c r="B316" s="1" t="s">
        <v>1032</v>
      </c>
      <c r="C316" s="1" t="s">
        <v>392</v>
      </c>
      <c r="D316" s="1" t="s">
        <v>393</v>
      </c>
      <c r="E316" s="2" t="s">
        <v>2214</v>
      </c>
      <c r="F316" s="2" t="s">
        <v>1975</v>
      </c>
      <c r="G316" s="6">
        <v>940</v>
      </c>
      <c r="H316" s="8">
        <f t="shared" si="10"/>
        <v>810.34482758620697</v>
      </c>
      <c r="I316" s="2">
        <v>16</v>
      </c>
      <c r="J316" s="2">
        <f t="shared" si="9"/>
        <v>0.36446808510638307</v>
      </c>
      <c r="K316" t="s">
        <v>1033</v>
      </c>
      <c r="L316">
        <v>1</v>
      </c>
      <c r="M316">
        <v>515</v>
      </c>
      <c r="N316">
        <v>515</v>
      </c>
      <c r="O316">
        <v>0</v>
      </c>
      <c r="P316">
        <v>515</v>
      </c>
      <c r="Q316">
        <v>1</v>
      </c>
      <c r="R316">
        <v>515</v>
      </c>
      <c r="S316" t="s">
        <v>24</v>
      </c>
      <c r="T316" t="s">
        <v>24</v>
      </c>
      <c r="U316" t="s">
        <v>24</v>
      </c>
      <c r="V316" t="s">
        <v>25</v>
      </c>
      <c r="W316" t="s">
        <v>1033</v>
      </c>
      <c r="X316" t="s">
        <v>26</v>
      </c>
      <c r="Y316" t="s">
        <v>24</v>
      </c>
    </row>
    <row r="317" spans="1:25" x14ac:dyDescent="0.35">
      <c r="A317" s="1" t="s">
        <v>1034</v>
      </c>
      <c r="B317" s="1" t="s">
        <v>1035</v>
      </c>
      <c r="C317" s="1" t="s">
        <v>34</v>
      </c>
      <c r="D317" s="1" t="s">
        <v>35</v>
      </c>
      <c r="E317" s="2" t="s">
        <v>2215</v>
      </c>
      <c r="F317" s="2" t="s">
        <v>1975</v>
      </c>
      <c r="G317" s="6">
        <v>3440</v>
      </c>
      <c r="H317" s="8">
        <f t="shared" si="10"/>
        <v>2965.5172413793107</v>
      </c>
      <c r="I317" s="2">
        <v>16</v>
      </c>
      <c r="J317" s="2">
        <f t="shared" si="9"/>
        <v>0.69988372093023266</v>
      </c>
      <c r="K317" t="s">
        <v>1036</v>
      </c>
      <c r="L317">
        <v>10</v>
      </c>
      <c r="M317">
        <v>890</v>
      </c>
      <c r="N317">
        <v>890</v>
      </c>
      <c r="O317">
        <v>0</v>
      </c>
      <c r="P317">
        <v>8900</v>
      </c>
      <c r="Q317">
        <v>10</v>
      </c>
      <c r="R317">
        <v>8900</v>
      </c>
      <c r="S317" t="s">
        <v>24</v>
      </c>
      <c r="T317" t="s">
        <v>24</v>
      </c>
      <c r="U317" t="s">
        <v>24</v>
      </c>
      <c r="V317" t="s">
        <v>25</v>
      </c>
      <c r="W317" t="s">
        <v>1036</v>
      </c>
      <c r="X317" t="s">
        <v>26</v>
      </c>
      <c r="Y317" t="s">
        <v>24</v>
      </c>
    </row>
    <row r="318" spans="1:25" x14ac:dyDescent="0.35">
      <c r="A318" s="1" t="s">
        <v>1037</v>
      </c>
      <c r="B318" s="1" t="s">
        <v>1038</v>
      </c>
      <c r="C318" s="1" t="s">
        <v>392</v>
      </c>
      <c r="D318" s="1" t="s">
        <v>393</v>
      </c>
      <c r="E318" s="2" t="s">
        <v>2216</v>
      </c>
      <c r="F318" s="2" t="s">
        <v>1975</v>
      </c>
      <c r="G318" s="6">
        <v>380</v>
      </c>
      <c r="H318" s="8">
        <f t="shared" si="10"/>
        <v>327.58620689655174</v>
      </c>
      <c r="I318" s="2">
        <v>16</v>
      </c>
      <c r="J318" s="2">
        <f t="shared" si="9"/>
        <v>-6.8421052631578938E-2</v>
      </c>
      <c r="K318" t="s">
        <v>1039</v>
      </c>
      <c r="L318">
        <v>4</v>
      </c>
      <c r="M318">
        <v>350</v>
      </c>
      <c r="N318">
        <v>350</v>
      </c>
      <c r="O318">
        <v>0</v>
      </c>
      <c r="P318">
        <v>1400</v>
      </c>
      <c r="Q318">
        <v>4</v>
      </c>
      <c r="R318">
        <v>1400</v>
      </c>
      <c r="S318" t="s">
        <v>24</v>
      </c>
      <c r="T318" t="s">
        <v>24</v>
      </c>
      <c r="U318" t="s">
        <v>24</v>
      </c>
      <c r="V318" t="s">
        <v>25</v>
      </c>
      <c r="W318" t="s">
        <v>1039</v>
      </c>
      <c r="X318" t="s">
        <v>26</v>
      </c>
      <c r="Y318" t="s">
        <v>24</v>
      </c>
    </row>
    <row r="319" spans="1:25" x14ac:dyDescent="0.35">
      <c r="A319" s="1" t="s">
        <v>1040</v>
      </c>
      <c r="B319" s="1" t="s">
        <v>1041</v>
      </c>
      <c r="C319" s="1" t="s">
        <v>586</v>
      </c>
      <c r="D319" s="1" t="s">
        <v>587</v>
      </c>
      <c r="E319" s="2" t="s">
        <v>2213</v>
      </c>
      <c r="F319" s="2" t="s">
        <v>1975</v>
      </c>
      <c r="G319" s="6">
        <v>1091.5</v>
      </c>
      <c r="H319" s="8">
        <f t="shared" si="10"/>
        <v>940.94827586206907</v>
      </c>
      <c r="I319" s="2">
        <v>16</v>
      </c>
      <c r="J319" s="2">
        <f t="shared" si="9"/>
        <v>0.6386623912047642</v>
      </c>
      <c r="K319" t="s">
        <v>1042</v>
      </c>
      <c r="L319">
        <v>1</v>
      </c>
      <c r="M319">
        <v>340</v>
      </c>
      <c r="N319">
        <v>340</v>
      </c>
      <c r="O319">
        <v>0</v>
      </c>
      <c r="P319">
        <v>340</v>
      </c>
      <c r="Q319">
        <v>1</v>
      </c>
      <c r="R319">
        <v>340</v>
      </c>
      <c r="S319" t="s">
        <v>24</v>
      </c>
      <c r="T319" t="s">
        <v>24</v>
      </c>
      <c r="U319" t="s">
        <v>24</v>
      </c>
      <c r="V319" t="s">
        <v>25</v>
      </c>
      <c r="W319" t="s">
        <v>1042</v>
      </c>
      <c r="X319" t="s">
        <v>26</v>
      </c>
      <c r="Y319" t="s">
        <v>24</v>
      </c>
    </row>
    <row r="320" spans="1:25" x14ac:dyDescent="0.35">
      <c r="A320" s="1" t="s">
        <v>1043</v>
      </c>
      <c r="B320" s="1" t="s">
        <v>1044</v>
      </c>
      <c r="C320" s="1" t="s">
        <v>392</v>
      </c>
      <c r="D320" s="1" t="s">
        <v>393</v>
      </c>
      <c r="E320" s="2" t="s">
        <v>2217</v>
      </c>
      <c r="F320" s="2" t="s">
        <v>1975</v>
      </c>
      <c r="G320" s="6">
        <v>2160</v>
      </c>
      <c r="H320" s="8">
        <f t="shared" si="10"/>
        <v>1862.0689655172414</v>
      </c>
      <c r="I320" s="2">
        <v>16</v>
      </c>
      <c r="J320" s="2">
        <f t="shared" si="9"/>
        <v>0.69925925925925925</v>
      </c>
      <c r="K320" t="s">
        <v>1045</v>
      </c>
      <c r="L320">
        <v>1</v>
      </c>
      <c r="M320">
        <v>560</v>
      </c>
      <c r="N320">
        <v>560</v>
      </c>
      <c r="O320">
        <v>0</v>
      </c>
      <c r="P320">
        <v>560</v>
      </c>
      <c r="Q320">
        <v>1</v>
      </c>
      <c r="R320">
        <v>560</v>
      </c>
      <c r="S320" t="s">
        <v>24</v>
      </c>
      <c r="T320" t="s">
        <v>24</v>
      </c>
      <c r="U320" t="s">
        <v>24</v>
      </c>
      <c r="V320" t="s">
        <v>25</v>
      </c>
      <c r="W320" t="s">
        <v>1045</v>
      </c>
      <c r="X320" t="s">
        <v>26</v>
      </c>
      <c r="Y320" t="s">
        <v>24</v>
      </c>
    </row>
    <row r="321" spans="1:25" x14ac:dyDescent="0.35">
      <c r="A321" s="1" t="s">
        <v>1046</v>
      </c>
      <c r="B321" s="1" t="s">
        <v>1047</v>
      </c>
      <c r="C321" s="1" t="s">
        <v>492</v>
      </c>
      <c r="D321" s="1" t="s">
        <v>493</v>
      </c>
      <c r="E321" s="2" t="s">
        <v>2218</v>
      </c>
      <c r="F321" s="2" t="s">
        <v>2082</v>
      </c>
      <c r="G321" s="6">
        <v>100</v>
      </c>
      <c r="H321" s="8">
        <f t="shared" si="10"/>
        <v>92.592592592592581</v>
      </c>
      <c r="I321" s="2">
        <v>8</v>
      </c>
      <c r="J321" s="2">
        <f t="shared" si="9"/>
        <v>0.67999600000000004</v>
      </c>
      <c r="K321" t="s">
        <v>1048</v>
      </c>
      <c r="L321">
        <v>7</v>
      </c>
      <c r="M321">
        <v>29.63</v>
      </c>
      <c r="N321">
        <v>29.63</v>
      </c>
      <c r="O321">
        <v>0</v>
      </c>
      <c r="P321">
        <v>207.41</v>
      </c>
      <c r="Q321">
        <v>7</v>
      </c>
      <c r="R321">
        <v>207.41</v>
      </c>
      <c r="S321" t="s">
        <v>24</v>
      </c>
      <c r="T321" t="s">
        <v>24</v>
      </c>
      <c r="U321" t="s">
        <v>24</v>
      </c>
      <c r="V321" t="s">
        <v>25</v>
      </c>
      <c r="W321" t="s">
        <v>1048</v>
      </c>
      <c r="X321" t="s">
        <v>26</v>
      </c>
      <c r="Y321" t="s">
        <v>24</v>
      </c>
    </row>
    <row r="322" spans="1:25" x14ac:dyDescent="0.35">
      <c r="A322" s="1" t="s">
        <v>1049</v>
      </c>
      <c r="B322" s="1" t="s">
        <v>1050</v>
      </c>
      <c r="C322" s="1" t="s">
        <v>392</v>
      </c>
      <c r="D322" s="1" t="s">
        <v>393</v>
      </c>
      <c r="E322" s="2" t="s">
        <v>2219</v>
      </c>
      <c r="F322" s="2" t="s">
        <v>2154</v>
      </c>
      <c r="G322" s="6">
        <v>100</v>
      </c>
      <c r="H322" s="8">
        <f t="shared" si="10"/>
        <v>86.206896551724142</v>
      </c>
      <c r="I322" s="2">
        <v>16</v>
      </c>
      <c r="J322" s="2">
        <f t="shared" si="9"/>
        <v>-0.62960859999999985</v>
      </c>
      <c r="K322" t="s">
        <v>1051</v>
      </c>
      <c r="L322">
        <v>2</v>
      </c>
      <c r="M322">
        <v>140.48349999999999</v>
      </c>
      <c r="N322">
        <v>140.48349999999999</v>
      </c>
      <c r="O322">
        <v>0</v>
      </c>
      <c r="P322">
        <v>280.96699999999998</v>
      </c>
      <c r="Q322">
        <v>2</v>
      </c>
      <c r="R322">
        <v>280.97000000000003</v>
      </c>
      <c r="S322" t="s">
        <v>24</v>
      </c>
      <c r="T322" t="s">
        <v>24</v>
      </c>
      <c r="U322" t="s">
        <v>24</v>
      </c>
      <c r="V322" t="s">
        <v>25</v>
      </c>
      <c r="W322" t="s">
        <v>1051</v>
      </c>
      <c r="X322" t="s">
        <v>26</v>
      </c>
      <c r="Y322" t="s">
        <v>24</v>
      </c>
    </row>
    <row r="323" spans="1:25" x14ac:dyDescent="0.35">
      <c r="A323" s="1" t="s">
        <v>1052</v>
      </c>
      <c r="B323" s="1" t="s">
        <v>1053</v>
      </c>
      <c r="C323" s="1" t="s">
        <v>392</v>
      </c>
      <c r="D323" s="1" t="s">
        <v>393</v>
      </c>
      <c r="E323" s="2" t="s">
        <v>2220</v>
      </c>
      <c r="F323" s="2" t="s">
        <v>1975</v>
      </c>
      <c r="G323" s="6">
        <v>1780</v>
      </c>
      <c r="H323" s="8">
        <f t="shared" si="10"/>
        <v>1534.4827586206898</v>
      </c>
      <c r="I323" s="2">
        <v>16</v>
      </c>
      <c r="J323" s="2">
        <f t="shared" ref="J323:J386" si="11">1-M323/H323</f>
        <v>0.62137078651685396</v>
      </c>
      <c r="K323" t="s">
        <v>1054</v>
      </c>
      <c r="L323">
        <v>1</v>
      </c>
      <c r="M323">
        <v>581</v>
      </c>
      <c r="N323">
        <v>581</v>
      </c>
      <c r="O323">
        <v>0</v>
      </c>
      <c r="P323">
        <v>581</v>
      </c>
      <c r="Q323">
        <v>1</v>
      </c>
      <c r="R323">
        <v>581</v>
      </c>
      <c r="S323" t="s">
        <v>24</v>
      </c>
      <c r="T323" t="s">
        <v>24</v>
      </c>
      <c r="U323" t="s">
        <v>24</v>
      </c>
      <c r="V323" t="s">
        <v>25</v>
      </c>
      <c r="W323" t="s">
        <v>1054</v>
      </c>
      <c r="X323" t="s">
        <v>26</v>
      </c>
      <c r="Y323" t="s">
        <v>24</v>
      </c>
    </row>
    <row r="324" spans="1:25" x14ac:dyDescent="0.35">
      <c r="A324" s="1" t="s">
        <v>1055</v>
      </c>
      <c r="B324" s="1" t="s">
        <v>1056</v>
      </c>
      <c r="C324" s="1" t="s">
        <v>249</v>
      </c>
      <c r="D324" s="1" t="s">
        <v>250</v>
      </c>
      <c r="E324" s="2" t="s">
        <v>2221</v>
      </c>
      <c r="F324" s="2" t="s">
        <v>1975</v>
      </c>
      <c r="G324" s="6">
        <v>1980</v>
      </c>
      <c r="H324" s="8">
        <f t="shared" ref="H324:H387" si="12">+G324/(1+I324/100)</f>
        <v>1706.8965517241381</v>
      </c>
      <c r="I324" s="2">
        <v>16</v>
      </c>
      <c r="J324" s="2">
        <f t="shared" si="11"/>
        <v>0.39671797979797985</v>
      </c>
      <c r="K324" t="s">
        <v>1057</v>
      </c>
      <c r="L324">
        <v>2</v>
      </c>
      <c r="M324">
        <v>1029.74</v>
      </c>
      <c r="N324">
        <v>1029.74</v>
      </c>
      <c r="O324">
        <v>0</v>
      </c>
      <c r="P324">
        <v>2059.48</v>
      </c>
      <c r="Q324">
        <v>2</v>
      </c>
      <c r="R324">
        <v>2059.48</v>
      </c>
      <c r="S324" t="s">
        <v>24</v>
      </c>
      <c r="T324" t="s">
        <v>24</v>
      </c>
      <c r="U324" t="s">
        <v>24</v>
      </c>
      <c r="V324" t="s">
        <v>25</v>
      </c>
      <c r="W324" t="s">
        <v>1057</v>
      </c>
      <c r="X324" t="s">
        <v>26</v>
      </c>
      <c r="Y324" t="s">
        <v>24</v>
      </c>
    </row>
    <row r="325" spans="1:25" x14ac:dyDescent="0.35">
      <c r="A325" s="1" t="s">
        <v>1058</v>
      </c>
      <c r="B325" s="1" t="s">
        <v>1059</v>
      </c>
      <c r="C325" s="1" t="s">
        <v>392</v>
      </c>
      <c r="D325" s="1" t="s">
        <v>393</v>
      </c>
      <c r="E325" s="2" t="s">
        <v>2222</v>
      </c>
      <c r="F325" s="2" t="s">
        <v>1975</v>
      </c>
      <c r="G325" s="6">
        <v>2405</v>
      </c>
      <c r="H325" s="8">
        <f t="shared" si="12"/>
        <v>2073.2758620689656</v>
      </c>
      <c r="I325" s="2">
        <v>16</v>
      </c>
      <c r="J325" s="2">
        <f t="shared" si="11"/>
        <v>0.44927251559251569</v>
      </c>
      <c r="K325" t="s">
        <v>1060</v>
      </c>
      <c r="L325">
        <v>1</v>
      </c>
      <c r="M325">
        <v>1141.81</v>
      </c>
      <c r="N325">
        <v>1141.81</v>
      </c>
      <c r="O325">
        <v>0</v>
      </c>
      <c r="P325">
        <v>1141.81</v>
      </c>
      <c r="Q325">
        <v>1</v>
      </c>
      <c r="R325">
        <v>1141.81</v>
      </c>
      <c r="S325" t="s">
        <v>24</v>
      </c>
      <c r="T325" t="s">
        <v>24</v>
      </c>
      <c r="U325" t="s">
        <v>24</v>
      </c>
      <c r="V325" t="s">
        <v>25</v>
      </c>
      <c r="W325" t="s">
        <v>1060</v>
      </c>
      <c r="X325" t="s">
        <v>26</v>
      </c>
      <c r="Y325" t="s">
        <v>24</v>
      </c>
    </row>
    <row r="326" spans="1:25" x14ac:dyDescent="0.35">
      <c r="A326" s="1" t="s">
        <v>1061</v>
      </c>
      <c r="B326" s="1" t="s">
        <v>1062</v>
      </c>
      <c r="C326" s="1" t="s">
        <v>392</v>
      </c>
      <c r="D326" s="1" t="s">
        <v>393</v>
      </c>
      <c r="E326" s="2" t="s">
        <v>2223</v>
      </c>
      <c r="F326" s="2" t="s">
        <v>1975</v>
      </c>
      <c r="G326" s="6">
        <v>5550</v>
      </c>
      <c r="H326" s="8">
        <f t="shared" si="12"/>
        <v>4784.4827586206902</v>
      </c>
      <c r="I326" s="2">
        <v>16</v>
      </c>
      <c r="J326" s="2">
        <f t="shared" si="11"/>
        <v>0.76135142342342343</v>
      </c>
      <c r="K326" t="s">
        <v>1063</v>
      </c>
      <c r="L326">
        <v>1</v>
      </c>
      <c r="M326">
        <v>1141.81</v>
      </c>
      <c r="N326">
        <v>1141.81</v>
      </c>
      <c r="O326">
        <v>0</v>
      </c>
      <c r="P326">
        <v>1141.81</v>
      </c>
      <c r="Q326">
        <v>1</v>
      </c>
      <c r="R326">
        <v>1141.81</v>
      </c>
      <c r="S326" t="s">
        <v>24</v>
      </c>
      <c r="T326" t="s">
        <v>24</v>
      </c>
      <c r="U326" t="s">
        <v>24</v>
      </c>
      <c r="V326" t="s">
        <v>25</v>
      </c>
      <c r="W326" t="s">
        <v>1063</v>
      </c>
      <c r="X326" t="s">
        <v>26</v>
      </c>
      <c r="Y326" t="s">
        <v>24</v>
      </c>
    </row>
    <row r="327" spans="1:25" x14ac:dyDescent="0.35">
      <c r="A327" s="1" t="s">
        <v>1064</v>
      </c>
      <c r="B327" s="1" t="s">
        <v>1065</v>
      </c>
      <c r="C327" s="1" t="s">
        <v>392</v>
      </c>
      <c r="D327" s="1" t="s">
        <v>393</v>
      </c>
      <c r="E327" s="2" t="s">
        <v>2224</v>
      </c>
      <c r="F327" s="2" t="s">
        <v>1975</v>
      </c>
      <c r="G327" s="6">
        <v>4420</v>
      </c>
      <c r="H327" s="8">
        <f t="shared" si="12"/>
        <v>3810.344827586207</v>
      </c>
      <c r="I327" s="2">
        <v>16</v>
      </c>
      <c r="J327" s="2">
        <f t="shared" si="11"/>
        <v>0.7003394570135747</v>
      </c>
      <c r="K327" t="s">
        <v>1066</v>
      </c>
      <c r="L327">
        <v>2</v>
      </c>
      <c r="M327">
        <v>1141.81</v>
      </c>
      <c r="N327">
        <v>1141.81</v>
      </c>
      <c r="O327">
        <v>0</v>
      </c>
      <c r="P327">
        <v>2283.62</v>
      </c>
      <c r="Q327">
        <v>2</v>
      </c>
      <c r="R327">
        <v>2283.62</v>
      </c>
      <c r="S327" t="s">
        <v>24</v>
      </c>
      <c r="T327" t="s">
        <v>24</v>
      </c>
      <c r="U327" t="s">
        <v>24</v>
      </c>
      <c r="V327" t="s">
        <v>25</v>
      </c>
      <c r="W327" t="s">
        <v>1066</v>
      </c>
      <c r="X327" t="s">
        <v>26</v>
      </c>
      <c r="Y327" t="s">
        <v>24</v>
      </c>
    </row>
    <row r="328" spans="1:25" x14ac:dyDescent="0.35">
      <c r="A328" s="1" t="s">
        <v>1067</v>
      </c>
      <c r="B328" s="1" t="s">
        <v>1068</v>
      </c>
      <c r="C328" s="1" t="s">
        <v>249</v>
      </c>
      <c r="D328" s="1" t="s">
        <v>250</v>
      </c>
      <c r="E328" s="2" t="s">
        <v>2225</v>
      </c>
      <c r="F328" s="2" t="s">
        <v>1975</v>
      </c>
      <c r="G328" s="6">
        <v>180</v>
      </c>
      <c r="H328" s="8">
        <f t="shared" si="12"/>
        <v>155.17241379310346</v>
      </c>
      <c r="I328" s="2">
        <v>16</v>
      </c>
      <c r="J328" s="2">
        <f t="shared" si="11"/>
        <v>0.71</v>
      </c>
      <c r="K328" t="s">
        <v>1069</v>
      </c>
      <c r="L328">
        <v>2</v>
      </c>
      <c r="M328">
        <v>45</v>
      </c>
      <c r="N328">
        <v>45</v>
      </c>
      <c r="O328">
        <v>0</v>
      </c>
      <c r="P328">
        <v>90</v>
      </c>
      <c r="Q328">
        <v>2</v>
      </c>
      <c r="R328">
        <v>90</v>
      </c>
      <c r="S328" t="s">
        <v>24</v>
      </c>
      <c r="T328" t="s">
        <v>24</v>
      </c>
      <c r="U328" t="s">
        <v>24</v>
      </c>
      <c r="V328" t="s">
        <v>25</v>
      </c>
      <c r="W328" t="s">
        <v>1069</v>
      </c>
      <c r="X328" t="s">
        <v>26</v>
      </c>
      <c r="Y328" t="s">
        <v>24</v>
      </c>
    </row>
    <row r="329" spans="1:25" x14ac:dyDescent="0.35">
      <c r="A329" s="1" t="s">
        <v>1070</v>
      </c>
      <c r="B329" s="1" t="s">
        <v>1071</v>
      </c>
      <c r="C329" s="1" t="s">
        <v>467</v>
      </c>
      <c r="D329" s="1" t="s">
        <v>468</v>
      </c>
      <c r="E329" s="2" t="s">
        <v>2226</v>
      </c>
      <c r="F329" s="2" t="s">
        <v>1975</v>
      </c>
      <c r="G329" s="6">
        <v>2590</v>
      </c>
      <c r="H329" s="8">
        <f t="shared" si="12"/>
        <v>2232.7586206896553</v>
      </c>
      <c r="I329" s="2">
        <v>16</v>
      </c>
      <c r="J329" s="2">
        <f t="shared" si="11"/>
        <v>0.68200772200772208</v>
      </c>
      <c r="K329" t="s">
        <v>1072</v>
      </c>
      <c r="L329">
        <v>1</v>
      </c>
      <c r="M329">
        <v>710</v>
      </c>
      <c r="N329">
        <v>710</v>
      </c>
      <c r="O329">
        <v>0</v>
      </c>
      <c r="P329">
        <v>710</v>
      </c>
      <c r="Q329">
        <v>1</v>
      </c>
      <c r="R329">
        <v>710</v>
      </c>
      <c r="S329" t="s">
        <v>24</v>
      </c>
      <c r="T329" t="s">
        <v>24</v>
      </c>
      <c r="U329" t="s">
        <v>24</v>
      </c>
      <c r="V329" t="s">
        <v>25</v>
      </c>
      <c r="W329" t="s">
        <v>1072</v>
      </c>
      <c r="X329" t="s">
        <v>26</v>
      </c>
      <c r="Y329" t="s">
        <v>24</v>
      </c>
    </row>
    <row r="330" spans="1:25" x14ac:dyDescent="0.35">
      <c r="A330" s="1" t="s">
        <v>1073</v>
      </c>
      <c r="B330" s="1" t="s">
        <v>1074</v>
      </c>
      <c r="C330" s="1" t="s">
        <v>392</v>
      </c>
      <c r="D330" s="1" t="s">
        <v>393</v>
      </c>
      <c r="E330" s="2" t="s">
        <v>2227</v>
      </c>
      <c r="F330" s="2" t="s">
        <v>1975</v>
      </c>
      <c r="G330" s="6">
        <v>440</v>
      </c>
      <c r="H330" s="8">
        <f t="shared" si="12"/>
        <v>379.31034482758622</v>
      </c>
      <c r="I330" s="2">
        <v>16</v>
      </c>
      <c r="J330" s="2">
        <f t="shared" si="11"/>
        <v>0.7627272727272727</v>
      </c>
      <c r="K330" t="s">
        <v>1075</v>
      </c>
      <c r="L330">
        <v>2</v>
      </c>
      <c r="M330">
        <v>90</v>
      </c>
      <c r="N330">
        <v>90</v>
      </c>
      <c r="O330">
        <v>0</v>
      </c>
      <c r="P330">
        <v>180</v>
      </c>
      <c r="Q330">
        <v>2</v>
      </c>
      <c r="R330">
        <v>180</v>
      </c>
      <c r="S330" t="s">
        <v>24</v>
      </c>
      <c r="T330" t="s">
        <v>24</v>
      </c>
      <c r="U330" t="s">
        <v>24</v>
      </c>
      <c r="V330" t="s">
        <v>25</v>
      </c>
      <c r="W330" t="s">
        <v>1075</v>
      </c>
      <c r="X330" t="s">
        <v>26</v>
      </c>
      <c r="Y330" t="s">
        <v>24</v>
      </c>
    </row>
    <row r="331" spans="1:25" x14ac:dyDescent="0.35">
      <c r="A331" s="1" t="s">
        <v>1076</v>
      </c>
      <c r="B331" s="1" t="s">
        <v>1077</v>
      </c>
      <c r="C331" s="1" t="s">
        <v>392</v>
      </c>
      <c r="D331" s="1" t="s">
        <v>393</v>
      </c>
      <c r="E331" s="2" t="s">
        <v>2228</v>
      </c>
      <c r="F331" s="2" t="s">
        <v>1975</v>
      </c>
      <c r="G331" s="6">
        <v>180</v>
      </c>
      <c r="H331" s="8">
        <f t="shared" si="12"/>
        <v>155.17241379310346</v>
      </c>
      <c r="I331" s="2">
        <v>16</v>
      </c>
      <c r="J331" s="2">
        <f t="shared" si="11"/>
        <v>0.42000000000000004</v>
      </c>
      <c r="K331" t="s">
        <v>1078</v>
      </c>
      <c r="L331">
        <v>1</v>
      </c>
      <c r="M331">
        <v>90</v>
      </c>
      <c r="N331">
        <v>90</v>
      </c>
      <c r="O331">
        <v>0</v>
      </c>
      <c r="P331">
        <v>90</v>
      </c>
      <c r="Q331">
        <v>1</v>
      </c>
      <c r="R331">
        <v>90</v>
      </c>
      <c r="S331" t="s">
        <v>24</v>
      </c>
      <c r="T331" t="s">
        <v>24</v>
      </c>
      <c r="U331" t="s">
        <v>24</v>
      </c>
      <c r="V331" t="s">
        <v>25</v>
      </c>
      <c r="W331" t="s">
        <v>1078</v>
      </c>
      <c r="X331" t="s">
        <v>26</v>
      </c>
      <c r="Y331" t="s">
        <v>24</v>
      </c>
    </row>
    <row r="332" spans="1:25" x14ac:dyDescent="0.35">
      <c r="A332" s="1" t="s">
        <v>1079</v>
      </c>
      <c r="B332" s="1" t="s">
        <v>1080</v>
      </c>
      <c r="C332" s="1" t="s">
        <v>392</v>
      </c>
      <c r="D332" s="1" t="s">
        <v>393</v>
      </c>
      <c r="E332" s="2" t="s">
        <v>2229</v>
      </c>
      <c r="F332" s="2" t="s">
        <v>1975</v>
      </c>
      <c r="G332" s="6">
        <v>180</v>
      </c>
      <c r="H332" s="8">
        <f t="shared" si="12"/>
        <v>155.17241379310346</v>
      </c>
      <c r="I332" s="2">
        <v>16</v>
      </c>
      <c r="J332" s="2">
        <f t="shared" si="11"/>
        <v>0.4522222222222223</v>
      </c>
      <c r="K332" t="s">
        <v>1081</v>
      </c>
      <c r="L332">
        <v>1</v>
      </c>
      <c r="M332">
        <v>85</v>
      </c>
      <c r="N332">
        <v>85</v>
      </c>
      <c r="O332">
        <v>0</v>
      </c>
      <c r="P332">
        <v>85</v>
      </c>
      <c r="Q332">
        <v>1</v>
      </c>
      <c r="R332">
        <v>85</v>
      </c>
      <c r="S332" t="s">
        <v>24</v>
      </c>
      <c r="T332" t="s">
        <v>24</v>
      </c>
      <c r="U332" t="s">
        <v>24</v>
      </c>
      <c r="V332" t="s">
        <v>25</v>
      </c>
      <c r="W332" t="s">
        <v>1081</v>
      </c>
      <c r="X332" t="s">
        <v>26</v>
      </c>
      <c r="Y332" t="s">
        <v>24</v>
      </c>
    </row>
    <row r="333" spans="1:25" x14ac:dyDescent="0.35">
      <c r="A333" s="1" t="s">
        <v>1082</v>
      </c>
      <c r="B333" s="1" t="s">
        <v>1083</v>
      </c>
      <c r="C333" s="1" t="s">
        <v>392</v>
      </c>
      <c r="D333" s="1" t="s">
        <v>393</v>
      </c>
      <c r="E333" s="2" t="s">
        <v>2230</v>
      </c>
      <c r="F333" s="2" t="s">
        <v>1975</v>
      </c>
      <c r="G333" s="6">
        <v>380</v>
      </c>
      <c r="H333" s="8">
        <f t="shared" si="12"/>
        <v>327.58620689655174</v>
      </c>
      <c r="I333" s="2">
        <v>16</v>
      </c>
      <c r="J333" s="2">
        <f t="shared" si="11"/>
        <v>0.70389473684210535</v>
      </c>
      <c r="K333" t="s">
        <v>1084</v>
      </c>
      <c r="L333">
        <v>1</v>
      </c>
      <c r="M333">
        <v>97</v>
      </c>
      <c r="N333">
        <v>97</v>
      </c>
      <c r="O333">
        <v>0</v>
      </c>
      <c r="P333">
        <v>97</v>
      </c>
      <c r="Q333">
        <v>1</v>
      </c>
      <c r="R333">
        <v>97</v>
      </c>
      <c r="S333" t="s">
        <v>24</v>
      </c>
      <c r="T333" t="s">
        <v>24</v>
      </c>
      <c r="U333" t="s">
        <v>24</v>
      </c>
      <c r="V333" t="s">
        <v>25</v>
      </c>
      <c r="W333" t="s">
        <v>1084</v>
      </c>
      <c r="X333" t="s">
        <v>26</v>
      </c>
      <c r="Y333" t="s">
        <v>24</v>
      </c>
    </row>
    <row r="334" spans="1:25" x14ac:dyDescent="0.35">
      <c r="A334" s="1" t="s">
        <v>1085</v>
      </c>
      <c r="B334" s="1" t="s">
        <v>1086</v>
      </c>
      <c r="C334" s="1" t="s">
        <v>392</v>
      </c>
      <c r="D334" s="1" t="s">
        <v>393</v>
      </c>
      <c r="E334" s="2" t="s">
        <v>2231</v>
      </c>
      <c r="F334" s="2" t="s">
        <v>1975</v>
      </c>
      <c r="G334" s="6">
        <v>180</v>
      </c>
      <c r="H334" s="8">
        <f t="shared" si="12"/>
        <v>155.17241379310346</v>
      </c>
      <c r="I334" s="2">
        <v>16</v>
      </c>
      <c r="J334" s="2">
        <f t="shared" si="11"/>
        <v>0.37488888888888894</v>
      </c>
      <c r="K334" t="s">
        <v>1087</v>
      </c>
      <c r="L334">
        <v>2</v>
      </c>
      <c r="M334">
        <v>97</v>
      </c>
      <c r="N334">
        <v>97</v>
      </c>
      <c r="O334">
        <v>0</v>
      </c>
      <c r="P334">
        <v>194</v>
      </c>
      <c r="Q334">
        <v>2</v>
      </c>
      <c r="R334">
        <v>194</v>
      </c>
      <c r="S334" t="s">
        <v>24</v>
      </c>
      <c r="T334" t="s">
        <v>24</v>
      </c>
      <c r="U334" t="s">
        <v>24</v>
      </c>
      <c r="V334" t="s">
        <v>25</v>
      </c>
      <c r="W334" t="s">
        <v>1087</v>
      </c>
      <c r="X334" t="s">
        <v>26</v>
      </c>
      <c r="Y334" t="s">
        <v>24</v>
      </c>
    </row>
    <row r="335" spans="1:25" x14ac:dyDescent="0.35">
      <c r="A335" s="1" t="s">
        <v>1088</v>
      </c>
      <c r="B335" s="1" t="s">
        <v>1089</v>
      </c>
      <c r="C335" s="1" t="s">
        <v>542</v>
      </c>
      <c r="D335" s="1" t="s">
        <v>543</v>
      </c>
      <c r="E335" s="2" t="s">
        <v>2232</v>
      </c>
      <c r="F335" s="2" t="s">
        <v>2061</v>
      </c>
      <c r="G335" s="6">
        <v>520</v>
      </c>
      <c r="H335" s="8">
        <f t="shared" si="12"/>
        <v>520</v>
      </c>
      <c r="I335" s="2">
        <v>0</v>
      </c>
      <c r="J335" s="2">
        <f t="shared" si="11"/>
        <v>0.73988461538461547</v>
      </c>
      <c r="K335" t="s">
        <v>1090</v>
      </c>
      <c r="L335">
        <v>5</v>
      </c>
      <c r="M335">
        <v>135.26</v>
      </c>
      <c r="N335">
        <v>135.26</v>
      </c>
      <c r="O335">
        <v>0</v>
      </c>
      <c r="P335">
        <v>676.3</v>
      </c>
      <c r="Q335">
        <v>5</v>
      </c>
      <c r="R335">
        <v>676.3</v>
      </c>
      <c r="S335" t="s">
        <v>24</v>
      </c>
      <c r="T335" t="s">
        <v>24</v>
      </c>
      <c r="U335" t="s">
        <v>24</v>
      </c>
      <c r="V335" t="s">
        <v>25</v>
      </c>
      <c r="W335" t="s">
        <v>1090</v>
      </c>
      <c r="X335" t="s">
        <v>26</v>
      </c>
      <c r="Y335" t="s">
        <v>24</v>
      </c>
    </row>
    <row r="336" spans="1:25" x14ac:dyDescent="0.35">
      <c r="A336" s="1" t="s">
        <v>1091</v>
      </c>
      <c r="B336" s="1" t="s">
        <v>1092</v>
      </c>
      <c r="C336" s="1" t="s">
        <v>445</v>
      </c>
      <c r="D336" s="1" t="s">
        <v>446</v>
      </c>
      <c r="E336" s="2" t="s">
        <v>2233</v>
      </c>
      <c r="F336" s="2" t="s">
        <v>1975</v>
      </c>
      <c r="G336" s="6">
        <v>407</v>
      </c>
      <c r="H336" s="8">
        <f t="shared" si="12"/>
        <v>350.86206896551727</v>
      </c>
      <c r="I336" s="2">
        <v>16</v>
      </c>
      <c r="J336" s="2">
        <f t="shared" si="11"/>
        <v>0.35128581818181825</v>
      </c>
      <c r="K336" t="s">
        <v>1093</v>
      </c>
      <c r="L336">
        <v>1</v>
      </c>
      <c r="M336">
        <v>227.60919999999999</v>
      </c>
      <c r="N336">
        <v>227.60919999999999</v>
      </c>
      <c r="O336">
        <v>0</v>
      </c>
      <c r="P336">
        <v>227.60919999999999</v>
      </c>
      <c r="Q336">
        <v>1</v>
      </c>
      <c r="R336">
        <v>227.61</v>
      </c>
      <c r="S336" t="s">
        <v>24</v>
      </c>
      <c r="T336" t="s">
        <v>24</v>
      </c>
      <c r="U336" t="s">
        <v>24</v>
      </c>
      <c r="V336" t="s">
        <v>25</v>
      </c>
      <c r="W336" t="s">
        <v>1093</v>
      </c>
      <c r="X336" t="s">
        <v>26</v>
      </c>
      <c r="Y336" t="s">
        <v>24</v>
      </c>
    </row>
    <row r="337" spans="1:25" x14ac:dyDescent="0.35">
      <c r="A337" s="1" t="s">
        <v>1094</v>
      </c>
      <c r="B337" s="1" t="s">
        <v>1095</v>
      </c>
      <c r="C337" s="1" t="s">
        <v>392</v>
      </c>
      <c r="D337" s="1" t="s">
        <v>393</v>
      </c>
      <c r="E337" s="2" t="s">
        <v>2234</v>
      </c>
      <c r="F337" s="2" t="s">
        <v>1975</v>
      </c>
      <c r="G337" s="6">
        <v>4070</v>
      </c>
      <c r="H337" s="8">
        <f t="shared" si="12"/>
        <v>3508.6206896551726</v>
      </c>
      <c r="I337" s="2">
        <v>16</v>
      </c>
      <c r="J337" s="2">
        <f t="shared" si="11"/>
        <v>0.73778869778869782</v>
      </c>
      <c r="K337" t="s">
        <v>1096</v>
      </c>
      <c r="L337">
        <v>1</v>
      </c>
      <c r="M337">
        <v>920</v>
      </c>
      <c r="N337">
        <v>920</v>
      </c>
      <c r="O337">
        <v>0</v>
      </c>
      <c r="P337">
        <v>920</v>
      </c>
      <c r="Q337">
        <v>1</v>
      </c>
      <c r="R337">
        <v>920</v>
      </c>
      <c r="S337" t="s">
        <v>24</v>
      </c>
      <c r="T337" t="s">
        <v>24</v>
      </c>
      <c r="U337" t="s">
        <v>24</v>
      </c>
      <c r="V337" t="s">
        <v>25</v>
      </c>
      <c r="W337" t="s">
        <v>1096</v>
      </c>
      <c r="X337" t="s">
        <v>26</v>
      </c>
      <c r="Y337" t="s">
        <v>24</v>
      </c>
    </row>
    <row r="338" spans="1:25" x14ac:dyDescent="0.35">
      <c r="A338" s="1" t="s">
        <v>1097</v>
      </c>
      <c r="B338" s="1" t="s">
        <v>1098</v>
      </c>
      <c r="C338" s="1" t="s">
        <v>392</v>
      </c>
      <c r="D338" s="1" t="s">
        <v>393</v>
      </c>
      <c r="E338" s="2" t="s">
        <v>2235</v>
      </c>
      <c r="F338" s="2" t="s">
        <v>1975</v>
      </c>
      <c r="G338" s="6">
        <v>4800</v>
      </c>
      <c r="H338" s="8">
        <f t="shared" si="12"/>
        <v>4137.9310344827591</v>
      </c>
      <c r="I338" s="2">
        <v>16</v>
      </c>
      <c r="J338" s="2">
        <f t="shared" si="11"/>
        <v>0.78135449999999995</v>
      </c>
      <c r="K338" t="s">
        <v>1099</v>
      </c>
      <c r="L338">
        <v>1</v>
      </c>
      <c r="M338">
        <v>904.74</v>
      </c>
      <c r="N338">
        <v>904.74</v>
      </c>
      <c r="O338">
        <v>0</v>
      </c>
      <c r="P338">
        <v>904.74</v>
      </c>
      <c r="Q338">
        <v>1</v>
      </c>
      <c r="R338">
        <v>904.74</v>
      </c>
      <c r="S338" t="s">
        <v>24</v>
      </c>
      <c r="T338" t="s">
        <v>24</v>
      </c>
      <c r="U338" t="s">
        <v>24</v>
      </c>
      <c r="V338" t="s">
        <v>25</v>
      </c>
      <c r="W338" t="s">
        <v>1099</v>
      </c>
      <c r="X338" t="s">
        <v>26</v>
      </c>
      <c r="Y338" t="s">
        <v>24</v>
      </c>
    </row>
    <row r="339" spans="1:25" x14ac:dyDescent="0.35">
      <c r="A339" s="1" t="s">
        <v>1100</v>
      </c>
      <c r="B339" s="1" t="s">
        <v>1101</v>
      </c>
      <c r="C339" s="1" t="s">
        <v>392</v>
      </c>
      <c r="D339" s="1" t="s">
        <v>393</v>
      </c>
      <c r="E339" s="2" t="s">
        <v>2236</v>
      </c>
      <c r="F339" s="2" t="s">
        <v>1975</v>
      </c>
      <c r="G339" s="6">
        <v>3720</v>
      </c>
      <c r="H339" s="8">
        <f t="shared" si="12"/>
        <v>3206.8965517241381</v>
      </c>
      <c r="I339" s="2">
        <v>16</v>
      </c>
      <c r="J339" s="2">
        <f t="shared" si="11"/>
        <v>0.70040193548387097</v>
      </c>
      <c r="K339" t="s">
        <v>1102</v>
      </c>
      <c r="L339">
        <v>1</v>
      </c>
      <c r="M339">
        <v>960.78</v>
      </c>
      <c r="N339">
        <v>960.78</v>
      </c>
      <c r="O339">
        <v>0</v>
      </c>
      <c r="P339">
        <v>960.78</v>
      </c>
      <c r="Q339">
        <v>1</v>
      </c>
      <c r="R339">
        <v>960.78</v>
      </c>
      <c r="S339" t="s">
        <v>24</v>
      </c>
      <c r="T339" t="s">
        <v>24</v>
      </c>
      <c r="U339" t="s">
        <v>24</v>
      </c>
      <c r="V339" t="s">
        <v>25</v>
      </c>
      <c r="W339" t="s">
        <v>1102</v>
      </c>
      <c r="X339" t="s">
        <v>26</v>
      </c>
      <c r="Y339" t="s">
        <v>24</v>
      </c>
    </row>
    <row r="340" spans="1:25" x14ac:dyDescent="0.35">
      <c r="A340" s="1" t="s">
        <v>1103</v>
      </c>
      <c r="B340" s="1" t="s">
        <v>1104</v>
      </c>
      <c r="C340" s="1" t="s">
        <v>249</v>
      </c>
      <c r="D340" s="1" t="s">
        <v>250</v>
      </c>
      <c r="E340" s="2" t="s">
        <v>2237</v>
      </c>
      <c r="F340" s="2" t="s">
        <v>1975</v>
      </c>
      <c r="G340" s="6">
        <v>4810</v>
      </c>
      <c r="H340" s="8">
        <f t="shared" si="12"/>
        <v>4146.5517241379312</v>
      </c>
      <c r="I340" s="2">
        <v>16</v>
      </c>
      <c r="J340" s="2">
        <f t="shared" si="11"/>
        <v>0.75062411642411642</v>
      </c>
      <c r="K340" t="s">
        <v>1105</v>
      </c>
      <c r="L340">
        <v>1</v>
      </c>
      <c r="M340">
        <v>1034.05</v>
      </c>
      <c r="N340">
        <v>1034.05</v>
      </c>
      <c r="O340">
        <v>0</v>
      </c>
      <c r="P340">
        <v>1034.05</v>
      </c>
      <c r="Q340">
        <v>1</v>
      </c>
      <c r="R340">
        <v>1034.05</v>
      </c>
      <c r="S340" t="s">
        <v>24</v>
      </c>
      <c r="T340" t="s">
        <v>24</v>
      </c>
      <c r="U340" t="s">
        <v>24</v>
      </c>
      <c r="V340" t="s">
        <v>25</v>
      </c>
      <c r="W340" t="s">
        <v>1105</v>
      </c>
      <c r="X340" t="s">
        <v>26</v>
      </c>
      <c r="Y340" t="s">
        <v>24</v>
      </c>
    </row>
    <row r="341" spans="1:25" x14ac:dyDescent="0.35">
      <c r="A341" s="1" t="s">
        <v>1106</v>
      </c>
      <c r="B341" s="1" t="s">
        <v>1107</v>
      </c>
      <c r="C341" s="1" t="s">
        <v>21</v>
      </c>
      <c r="D341" s="1" t="s">
        <v>22</v>
      </c>
      <c r="E341" s="2" t="s">
        <v>2238</v>
      </c>
      <c r="F341" s="2" t="s">
        <v>1911</v>
      </c>
      <c r="G341" s="6">
        <v>2860</v>
      </c>
      <c r="H341" s="8">
        <f t="shared" si="12"/>
        <v>2465.5172413793107</v>
      </c>
      <c r="I341" s="2">
        <v>16</v>
      </c>
      <c r="J341" s="2">
        <f t="shared" si="11"/>
        <v>0.70031846153846156</v>
      </c>
      <c r="K341" t="s">
        <v>1108</v>
      </c>
      <c r="L341">
        <v>1</v>
      </c>
      <c r="M341">
        <v>738.87</v>
      </c>
      <c r="N341">
        <v>738.87</v>
      </c>
      <c r="O341">
        <v>0</v>
      </c>
      <c r="P341">
        <v>738.87</v>
      </c>
      <c r="Q341">
        <v>1</v>
      </c>
      <c r="R341">
        <v>738.87</v>
      </c>
      <c r="S341" t="s">
        <v>24</v>
      </c>
      <c r="T341" t="s">
        <v>24</v>
      </c>
      <c r="U341" t="s">
        <v>24</v>
      </c>
      <c r="V341" t="s">
        <v>25</v>
      </c>
      <c r="W341" t="s">
        <v>1108</v>
      </c>
      <c r="X341" t="s">
        <v>26</v>
      </c>
      <c r="Y341" t="s">
        <v>24</v>
      </c>
    </row>
    <row r="342" spans="1:25" x14ac:dyDescent="0.35">
      <c r="A342" s="1" t="s">
        <v>1109</v>
      </c>
      <c r="B342" s="1" t="s">
        <v>1110</v>
      </c>
      <c r="C342" s="1" t="s">
        <v>21</v>
      </c>
      <c r="D342" s="1" t="s">
        <v>22</v>
      </c>
      <c r="E342" s="2" t="s">
        <v>2239</v>
      </c>
      <c r="F342" s="2" t="s">
        <v>1911</v>
      </c>
      <c r="G342" s="6">
        <v>3240</v>
      </c>
      <c r="H342" s="8">
        <f t="shared" si="12"/>
        <v>2793.1034482758623</v>
      </c>
      <c r="I342" s="2">
        <v>16</v>
      </c>
      <c r="J342" s="2">
        <f t="shared" si="11"/>
        <v>0.6993953086419753</v>
      </c>
      <c r="K342" t="s">
        <v>1111</v>
      </c>
      <c r="L342">
        <v>1</v>
      </c>
      <c r="M342">
        <v>839.62</v>
      </c>
      <c r="N342">
        <v>839.62</v>
      </c>
      <c r="O342">
        <v>0</v>
      </c>
      <c r="P342">
        <v>839.62</v>
      </c>
      <c r="Q342">
        <v>1</v>
      </c>
      <c r="R342">
        <v>839.62</v>
      </c>
      <c r="S342" t="s">
        <v>24</v>
      </c>
      <c r="T342" t="s">
        <v>24</v>
      </c>
      <c r="U342" t="s">
        <v>24</v>
      </c>
      <c r="V342" t="s">
        <v>25</v>
      </c>
      <c r="W342" t="s">
        <v>1111</v>
      </c>
      <c r="X342" t="s">
        <v>26</v>
      </c>
      <c r="Y342" t="s">
        <v>24</v>
      </c>
    </row>
    <row r="343" spans="1:25" x14ac:dyDescent="0.35">
      <c r="A343" s="1" t="s">
        <v>1112</v>
      </c>
      <c r="B343" s="1" t="s">
        <v>1113</v>
      </c>
      <c r="C343" s="1" t="s">
        <v>21</v>
      </c>
      <c r="D343" s="1" t="s">
        <v>22</v>
      </c>
      <c r="E343" s="2" t="s">
        <v>2240</v>
      </c>
      <c r="F343" s="2" t="s">
        <v>1911</v>
      </c>
      <c r="G343" s="6">
        <v>9805</v>
      </c>
      <c r="H343" s="8">
        <f t="shared" si="12"/>
        <v>8452.5862068965525</v>
      </c>
      <c r="I343" s="2">
        <v>16</v>
      </c>
      <c r="J343" s="2">
        <f t="shared" si="11"/>
        <v>0.97042325344212133</v>
      </c>
      <c r="K343" t="s">
        <v>1114</v>
      </c>
      <c r="L343">
        <v>1</v>
      </c>
      <c r="M343">
        <v>250</v>
      </c>
      <c r="N343">
        <v>250</v>
      </c>
      <c r="O343">
        <v>0</v>
      </c>
      <c r="P343">
        <v>250</v>
      </c>
      <c r="Q343">
        <v>1</v>
      </c>
      <c r="R343">
        <v>250</v>
      </c>
      <c r="S343" t="s">
        <v>24</v>
      </c>
      <c r="T343" t="s">
        <v>24</v>
      </c>
      <c r="U343" t="s">
        <v>24</v>
      </c>
      <c r="V343" t="s">
        <v>25</v>
      </c>
      <c r="W343" t="s">
        <v>1114</v>
      </c>
      <c r="X343" t="s">
        <v>26</v>
      </c>
      <c r="Y343" t="s">
        <v>24</v>
      </c>
    </row>
    <row r="344" spans="1:25" x14ac:dyDescent="0.35">
      <c r="A344" s="1" t="s">
        <v>1115</v>
      </c>
      <c r="B344" s="1" t="s">
        <v>1116</v>
      </c>
      <c r="C344" s="1" t="s">
        <v>21</v>
      </c>
      <c r="D344" s="1" t="s">
        <v>22</v>
      </c>
      <c r="E344" s="2" t="s">
        <v>2241</v>
      </c>
      <c r="F344" s="2" t="s">
        <v>1911</v>
      </c>
      <c r="G344" s="6">
        <v>380</v>
      </c>
      <c r="H344" s="8">
        <f t="shared" si="12"/>
        <v>327.58620689655174</v>
      </c>
      <c r="I344" s="2">
        <v>16</v>
      </c>
      <c r="J344" s="2">
        <f t="shared" si="11"/>
        <v>0.6947368421052631</v>
      </c>
      <c r="K344" t="s">
        <v>1117</v>
      </c>
      <c r="L344">
        <v>1</v>
      </c>
      <c r="M344">
        <v>100</v>
      </c>
      <c r="N344">
        <v>100</v>
      </c>
      <c r="O344">
        <v>0</v>
      </c>
      <c r="P344">
        <v>100</v>
      </c>
      <c r="Q344">
        <v>1</v>
      </c>
      <c r="R344">
        <v>100</v>
      </c>
      <c r="S344" t="s">
        <v>24</v>
      </c>
      <c r="T344" t="s">
        <v>24</v>
      </c>
      <c r="U344" t="s">
        <v>24</v>
      </c>
      <c r="V344" t="s">
        <v>25</v>
      </c>
      <c r="W344" t="s">
        <v>1117</v>
      </c>
      <c r="X344" t="s">
        <v>26</v>
      </c>
      <c r="Y344" t="s">
        <v>24</v>
      </c>
    </row>
    <row r="345" spans="1:25" x14ac:dyDescent="0.35">
      <c r="A345" s="1" t="s">
        <v>1118</v>
      </c>
      <c r="B345" s="1" t="s">
        <v>1119</v>
      </c>
      <c r="C345" s="1" t="s">
        <v>431</v>
      </c>
      <c r="D345" s="1" t="s">
        <v>432</v>
      </c>
      <c r="E345" s="2" t="s">
        <v>2242</v>
      </c>
      <c r="F345" s="2" t="s">
        <v>1975</v>
      </c>
      <c r="G345" s="6">
        <v>1017.5</v>
      </c>
      <c r="H345" s="8">
        <f t="shared" si="12"/>
        <v>877.15517241379314</v>
      </c>
      <c r="I345" s="2">
        <v>16</v>
      </c>
      <c r="J345" s="2">
        <f t="shared" si="11"/>
        <v>0.50909484029484031</v>
      </c>
      <c r="K345" t="s">
        <v>1120</v>
      </c>
      <c r="L345">
        <v>1</v>
      </c>
      <c r="M345">
        <v>430.6</v>
      </c>
      <c r="N345">
        <v>430.60340000000002</v>
      </c>
      <c r="O345">
        <v>0</v>
      </c>
      <c r="P345">
        <v>430.6</v>
      </c>
      <c r="Q345">
        <v>1</v>
      </c>
      <c r="R345">
        <v>430.6</v>
      </c>
      <c r="S345" t="s">
        <v>24</v>
      </c>
      <c r="T345" t="s">
        <v>24</v>
      </c>
      <c r="U345" t="s">
        <v>24</v>
      </c>
      <c r="V345" t="s">
        <v>25</v>
      </c>
      <c r="W345" t="s">
        <v>1120</v>
      </c>
      <c r="X345" t="s">
        <v>26</v>
      </c>
      <c r="Y345" t="s">
        <v>24</v>
      </c>
    </row>
    <row r="346" spans="1:25" x14ac:dyDescent="0.35">
      <c r="A346" s="1" t="s">
        <v>1121</v>
      </c>
      <c r="B346" s="1" t="s">
        <v>1122</v>
      </c>
      <c r="C346" s="1" t="s">
        <v>295</v>
      </c>
      <c r="D346" s="1" t="s">
        <v>296</v>
      </c>
      <c r="E346" s="2" t="s">
        <v>2243</v>
      </c>
      <c r="F346" s="2" t="s">
        <v>1975</v>
      </c>
      <c r="G346" s="6">
        <v>780</v>
      </c>
      <c r="H346" s="8">
        <f t="shared" si="12"/>
        <v>672.41379310344837</v>
      </c>
      <c r="I346" s="2">
        <v>16</v>
      </c>
      <c r="J346" s="2">
        <f t="shared" si="11"/>
        <v>0.7299067897435898</v>
      </c>
      <c r="K346" t="s">
        <v>1123</v>
      </c>
      <c r="L346">
        <v>1</v>
      </c>
      <c r="M346">
        <v>181.61439999999999</v>
      </c>
      <c r="N346">
        <v>181.61439999999999</v>
      </c>
      <c r="O346">
        <v>0</v>
      </c>
      <c r="P346">
        <v>181.61439999999999</v>
      </c>
      <c r="Q346">
        <v>1</v>
      </c>
      <c r="R346">
        <v>181.61</v>
      </c>
      <c r="S346" t="s">
        <v>24</v>
      </c>
      <c r="T346" t="s">
        <v>24</v>
      </c>
      <c r="U346" t="s">
        <v>24</v>
      </c>
      <c r="V346" t="s">
        <v>25</v>
      </c>
      <c r="W346" t="s">
        <v>1123</v>
      </c>
      <c r="X346" t="s">
        <v>26</v>
      </c>
      <c r="Y346" t="s">
        <v>24</v>
      </c>
    </row>
    <row r="347" spans="1:25" x14ac:dyDescent="0.35">
      <c r="A347" s="1" t="s">
        <v>1124</v>
      </c>
      <c r="B347" s="1" t="s">
        <v>1125</v>
      </c>
      <c r="C347" s="1" t="s">
        <v>596</v>
      </c>
      <c r="D347" s="1" t="s">
        <v>597</v>
      </c>
      <c r="E347" s="2" t="s">
        <v>2244</v>
      </c>
      <c r="F347" s="2" t="s">
        <v>2061</v>
      </c>
      <c r="G347" s="6">
        <v>1300</v>
      </c>
      <c r="H347" s="8">
        <f t="shared" si="12"/>
        <v>1120.6896551724139</v>
      </c>
      <c r="I347" s="2">
        <v>16</v>
      </c>
      <c r="J347" s="2">
        <f t="shared" si="11"/>
        <v>0.58507692307692316</v>
      </c>
      <c r="K347" t="s">
        <v>1126</v>
      </c>
      <c r="L347">
        <v>1</v>
      </c>
      <c r="M347">
        <v>465</v>
      </c>
      <c r="N347">
        <v>465</v>
      </c>
      <c r="O347">
        <v>0</v>
      </c>
      <c r="P347">
        <v>465</v>
      </c>
      <c r="Q347">
        <v>1</v>
      </c>
      <c r="R347">
        <v>465</v>
      </c>
      <c r="S347" t="s">
        <v>24</v>
      </c>
      <c r="T347" t="s">
        <v>24</v>
      </c>
      <c r="U347" t="s">
        <v>24</v>
      </c>
      <c r="V347" t="s">
        <v>25</v>
      </c>
      <c r="W347" t="s">
        <v>1126</v>
      </c>
      <c r="X347" t="s">
        <v>26</v>
      </c>
      <c r="Y347" t="s">
        <v>24</v>
      </c>
    </row>
    <row r="348" spans="1:25" x14ac:dyDescent="0.35">
      <c r="A348" s="1" t="s">
        <v>1127</v>
      </c>
      <c r="B348" s="1" t="s">
        <v>1128</v>
      </c>
      <c r="C348" s="1" t="s">
        <v>596</v>
      </c>
      <c r="D348" s="1" t="s">
        <v>597</v>
      </c>
      <c r="E348" s="2" t="s">
        <v>2245</v>
      </c>
      <c r="F348" s="2" t="s">
        <v>2061</v>
      </c>
      <c r="G348" s="6">
        <v>2200</v>
      </c>
      <c r="H348" s="8">
        <f t="shared" si="12"/>
        <v>1896.5517241379312</v>
      </c>
      <c r="I348" s="2">
        <v>16</v>
      </c>
      <c r="J348" s="2">
        <f t="shared" si="11"/>
        <v>0.59109999999999996</v>
      </c>
      <c r="K348" t="s">
        <v>1129</v>
      </c>
      <c r="L348">
        <v>1</v>
      </c>
      <c r="M348">
        <v>775.5</v>
      </c>
      <c r="N348">
        <v>775.5</v>
      </c>
      <c r="O348">
        <v>0</v>
      </c>
      <c r="P348">
        <v>775.5</v>
      </c>
      <c r="Q348">
        <v>1</v>
      </c>
      <c r="R348">
        <v>775.5</v>
      </c>
      <c r="S348" t="s">
        <v>24</v>
      </c>
      <c r="T348" t="s">
        <v>24</v>
      </c>
      <c r="U348" t="s">
        <v>24</v>
      </c>
      <c r="V348" t="s">
        <v>25</v>
      </c>
      <c r="W348" t="s">
        <v>1129</v>
      </c>
      <c r="X348" t="s">
        <v>26</v>
      </c>
      <c r="Y348" t="s">
        <v>24</v>
      </c>
    </row>
    <row r="349" spans="1:25" x14ac:dyDescent="0.35">
      <c r="A349" s="1" t="s">
        <v>1130</v>
      </c>
      <c r="B349" s="1" t="s">
        <v>1131</v>
      </c>
      <c r="C349" s="1" t="s">
        <v>392</v>
      </c>
      <c r="D349" s="1" t="s">
        <v>393</v>
      </c>
      <c r="E349" s="2" t="s">
        <v>2246</v>
      </c>
      <c r="F349" s="2" t="s">
        <v>1975</v>
      </c>
      <c r="G349" s="6">
        <v>440</v>
      </c>
      <c r="H349" s="8">
        <f t="shared" si="12"/>
        <v>379.31034482758622</v>
      </c>
      <c r="I349" s="2">
        <v>16</v>
      </c>
      <c r="J349" s="2">
        <f t="shared" si="11"/>
        <v>0.7627272727272727</v>
      </c>
      <c r="K349" t="s">
        <v>1132</v>
      </c>
      <c r="L349">
        <v>1</v>
      </c>
      <c r="M349">
        <v>90</v>
      </c>
      <c r="N349">
        <v>90</v>
      </c>
      <c r="O349">
        <v>0</v>
      </c>
      <c r="P349">
        <v>90</v>
      </c>
      <c r="Q349">
        <v>1</v>
      </c>
      <c r="R349">
        <v>90</v>
      </c>
      <c r="S349" t="s">
        <v>24</v>
      </c>
      <c r="T349" t="s">
        <v>24</v>
      </c>
      <c r="U349" t="s">
        <v>24</v>
      </c>
      <c r="V349" t="s">
        <v>25</v>
      </c>
      <c r="W349" t="s">
        <v>1132</v>
      </c>
      <c r="X349" t="s">
        <v>26</v>
      </c>
      <c r="Y349" t="s">
        <v>24</v>
      </c>
    </row>
    <row r="350" spans="1:25" x14ac:dyDescent="0.35">
      <c r="A350" s="1" t="s">
        <v>1133</v>
      </c>
      <c r="B350" s="1" t="s">
        <v>1134</v>
      </c>
      <c r="C350" s="1" t="s">
        <v>392</v>
      </c>
      <c r="D350" s="1" t="s">
        <v>393</v>
      </c>
      <c r="E350" s="2" t="s">
        <v>2247</v>
      </c>
      <c r="F350" s="2" t="s">
        <v>1975</v>
      </c>
      <c r="G350" s="6">
        <v>180</v>
      </c>
      <c r="H350" s="8">
        <f t="shared" si="12"/>
        <v>155.17241379310346</v>
      </c>
      <c r="I350" s="2">
        <v>16</v>
      </c>
      <c r="J350" s="2">
        <f t="shared" si="11"/>
        <v>0.42000000000000004</v>
      </c>
      <c r="K350" t="s">
        <v>1135</v>
      </c>
      <c r="L350">
        <v>1</v>
      </c>
      <c r="M350">
        <v>90</v>
      </c>
      <c r="N350">
        <v>90</v>
      </c>
      <c r="O350">
        <v>0</v>
      </c>
      <c r="P350">
        <v>90</v>
      </c>
      <c r="Q350">
        <v>1</v>
      </c>
      <c r="R350">
        <v>90</v>
      </c>
      <c r="S350" t="s">
        <v>24</v>
      </c>
      <c r="T350" t="s">
        <v>24</v>
      </c>
      <c r="U350" t="s">
        <v>24</v>
      </c>
      <c r="V350" t="s">
        <v>25</v>
      </c>
      <c r="W350" t="s">
        <v>1135</v>
      </c>
      <c r="X350" t="s">
        <v>26</v>
      </c>
      <c r="Y350" t="s">
        <v>24</v>
      </c>
    </row>
    <row r="351" spans="1:25" x14ac:dyDescent="0.35">
      <c r="A351" s="1" t="s">
        <v>1136</v>
      </c>
      <c r="B351" s="1" t="s">
        <v>1137</v>
      </c>
      <c r="C351" s="1" t="s">
        <v>392</v>
      </c>
      <c r="D351" s="1" t="s">
        <v>393</v>
      </c>
      <c r="E351" s="2" t="s">
        <v>2248</v>
      </c>
      <c r="F351" s="2" t="s">
        <v>1975</v>
      </c>
      <c r="G351" s="6">
        <v>440</v>
      </c>
      <c r="H351" s="8">
        <f t="shared" si="12"/>
        <v>379.31034482758622</v>
      </c>
      <c r="I351" s="2">
        <v>16</v>
      </c>
      <c r="J351" s="2">
        <f t="shared" si="11"/>
        <v>0.7627272727272727</v>
      </c>
      <c r="K351" t="s">
        <v>1138</v>
      </c>
      <c r="L351">
        <v>2</v>
      </c>
      <c r="M351">
        <v>90</v>
      </c>
      <c r="N351">
        <v>90</v>
      </c>
      <c r="O351">
        <v>0</v>
      </c>
      <c r="P351">
        <v>180</v>
      </c>
      <c r="Q351">
        <v>2</v>
      </c>
      <c r="R351">
        <v>180</v>
      </c>
      <c r="S351" t="s">
        <v>24</v>
      </c>
      <c r="T351" t="s">
        <v>24</v>
      </c>
      <c r="U351" t="s">
        <v>24</v>
      </c>
      <c r="V351" t="s">
        <v>25</v>
      </c>
      <c r="W351" t="s">
        <v>1138</v>
      </c>
      <c r="X351" t="s">
        <v>26</v>
      </c>
      <c r="Y351" t="s">
        <v>24</v>
      </c>
    </row>
    <row r="352" spans="1:25" x14ac:dyDescent="0.35">
      <c r="A352" s="1" t="s">
        <v>1139</v>
      </c>
      <c r="B352" s="1" t="s">
        <v>1140</v>
      </c>
      <c r="C352" s="1" t="s">
        <v>392</v>
      </c>
      <c r="D352" s="1" t="s">
        <v>393</v>
      </c>
      <c r="E352" s="2" t="s">
        <v>2249</v>
      </c>
      <c r="F352" s="2" t="s">
        <v>1975</v>
      </c>
      <c r="G352" s="6">
        <v>180</v>
      </c>
      <c r="H352" s="8">
        <f t="shared" si="12"/>
        <v>155.17241379310346</v>
      </c>
      <c r="I352" s="2">
        <v>16</v>
      </c>
      <c r="J352" s="2">
        <f t="shared" si="11"/>
        <v>0.42000000000000004</v>
      </c>
      <c r="K352" t="s">
        <v>1141</v>
      </c>
      <c r="L352">
        <v>1</v>
      </c>
      <c r="M352">
        <v>90</v>
      </c>
      <c r="N352">
        <v>90</v>
      </c>
      <c r="O352">
        <v>0</v>
      </c>
      <c r="P352">
        <v>90</v>
      </c>
      <c r="Q352">
        <v>1</v>
      </c>
      <c r="R352">
        <v>90</v>
      </c>
      <c r="S352" t="s">
        <v>24</v>
      </c>
      <c r="T352" t="s">
        <v>24</v>
      </c>
      <c r="U352" t="s">
        <v>24</v>
      </c>
      <c r="V352" t="s">
        <v>25</v>
      </c>
      <c r="W352" t="s">
        <v>1141</v>
      </c>
      <c r="X352" t="s">
        <v>26</v>
      </c>
      <c r="Y352" t="s">
        <v>24</v>
      </c>
    </row>
    <row r="353" spans="1:25" x14ac:dyDescent="0.35">
      <c r="A353" s="1" t="s">
        <v>1142</v>
      </c>
      <c r="B353" s="1" t="s">
        <v>1143</v>
      </c>
      <c r="C353" s="1" t="s">
        <v>537</v>
      </c>
      <c r="D353" s="1" t="s">
        <v>538</v>
      </c>
      <c r="E353" s="2" t="s">
        <v>2250</v>
      </c>
      <c r="F353" s="2" t="s">
        <v>2061</v>
      </c>
      <c r="G353" s="6">
        <v>200</v>
      </c>
      <c r="H353" s="8">
        <f t="shared" si="12"/>
        <v>200</v>
      </c>
      <c r="I353" s="2">
        <v>0</v>
      </c>
      <c r="J353" s="2">
        <f t="shared" si="11"/>
        <v>0.86734999999999995</v>
      </c>
      <c r="K353" t="s">
        <v>1144</v>
      </c>
      <c r="L353">
        <v>1</v>
      </c>
      <c r="M353">
        <v>26.53</v>
      </c>
      <c r="N353">
        <v>26.53</v>
      </c>
      <c r="O353">
        <v>0</v>
      </c>
      <c r="P353">
        <v>26.53</v>
      </c>
      <c r="Q353">
        <v>1</v>
      </c>
      <c r="R353">
        <v>26.53</v>
      </c>
      <c r="S353" t="s">
        <v>24</v>
      </c>
      <c r="T353" t="s">
        <v>24</v>
      </c>
      <c r="U353" t="s">
        <v>24</v>
      </c>
      <c r="V353" t="s">
        <v>25</v>
      </c>
      <c r="W353" t="s">
        <v>1144</v>
      </c>
      <c r="X353" t="s">
        <v>26</v>
      </c>
      <c r="Y353" t="s">
        <v>24</v>
      </c>
    </row>
    <row r="354" spans="1:25" x14ac:dyDescent="0.35">
      <c r="A354" s="1" t="s">
        <v>1145</v>
      </c>
      <c r="B354" s="1" t="s">
        <v>1146</v>
      </c>
      <c r="C354" s="1" t="s">
        <v>537</v>
      </c>
      <c r="D354" s="1" t="s">
        <v>538</v>
      </c>
      <c r="E354" s="2" t="s">
        <v>2251</v>
      </c>
      <c r="F354" s="2" t="s">
        <v>2061</v>
      </c>
      <c r="G354" s="6">
        <v>40</v>
      </c>
      <c r="H354" s="8">
        <f t="shared" si="12"/>
        <v>34.482758620689658</v>
      </c>
      <c r="I354" s="2">
        <v>16</v>
      </c>
      <c r="J354" s="2">
        <f t="shared" si="11"/>
        <v>0.67462</v>
      </c>
      <c r="K354" t="s">
        <v>1147</v>
      </c>
      <c r="L354">
        <v>2</v>
      </c>
      <c r="M354">
        <v>11.22</v>
      </c>
      <c r="N354">
        <v>11.22</v>
      </c>
      <c r="O354">
        <v>0</v>
      </c>
      <c r="P354">
        <v>22.44</v>
      </c>
      <c r="Q354">
        <v>2</v>
      </c>
      <c r="R354">
        <v>22.44</v>
      </c>
      <c r="S354" t="s">
        <v>24</v>
      </c>
      <c r="T354" t="s">
        <v>24</v>
      </c>
      <c r="U354" t="s">
        <v>24</v>
      </c>
      <c r="V354" t="s">
        <v>25</v>
      </c>
      <c r="W354" t="s">
        <v>1147</v>
      </c>
      <c r="X354" t="s">
        <v>26</v>
      </c>
      <c r="Y354" t="s">
        <v>24</v>
      </c>
    </row>
    <row r="355" spans="1:25" x14ac:dyDescent="0.35">
      <c r="A355" s="1" t="s">
        <v>1148</v>
      </c>
      <c r="B355" s="1" t="s">
        <v>1149</v>
      </c>
      <c r="C355" s="1" t="s">
        <v>537</v>
      </c>
      <c r="D355" s="1" t="s">
        <v>538</v>
      </c>
      <c r="E355" s="2" t="s">
        <v>2252</v>
      </c>
      <c r="F355" s="2" t="s">
        <v>2061</v>
      </c>
      <c r="G355" s="6">
        <v>200</v>
      </c>
      <c r="H355" s="8">
        <f t="shared" si="12"/>
        <v>172.41379310344828</v>
      </c>
      <c r="I355" s="2">
        <v>16</v>
      </c>
      <c r="J355" s="2">
        <f t="shared" si="11"/>
        <v>0.61139999999999994</v>
      </c>
      <c r="K355" t="s">
        <v>1150</v>
      </c>
      <c r="L355">
        <v>1</v>
      </c>
      <c r="M355">
        <v>67</v>
      </c>
      <c r="N355">
        <v>67</v>
      </c>
      <c r="O355">
        <v>0</v>
      </c>
      <c r="P355">
        <v>67</v>
      </c>
      <c r="Q355">
        <v>1</v>
      </c>
      <c r="R355">
        <v>67</v>
      </c>
      <c r="S355" t="s">
        <v>24</v>
      </c>
      <c r="T355" t="s">
        <v>24</v>
      </c>
      <c r="U355" t="s">
        <v>24</v>
      </c>
      <c r="V355" t="s">
        <v>25</v>
      </c>
      <c r="W355" t="s">
        <v>1150</v>
      </c>
      <c r="X355" t="s">
        <v>26</v>
      </c>
      <c r="Y355" t="s">
        <v>24</v>
      </c>
    </row>
    <row r="356" spans="1:25" x14ac:dyDescent="0.35">
      <c r="A356" s="1" t="s">
        <v>1151</v>
      </c>
      <c r="B356" s="1" t="s">
        <v>1152</v>
      </c>
      <c r="C356" s="1" t="s">
        <v>537</v>
      </c>
      <c r="D356" s="1" t="s">
        <v>538</v>
      </c>
      <c r="E356" s="2" t="s">
        <v>2253</v>
      </c>
      <c r="F356" s="2" t="s">
        <v>2061</v>
      </c>
      <c r="G356" s="6">
        <v>60</v>
      </c>
      <c r="H356" s="8">
        <f t="shared" si="12"/>
        <v>60</v>
      </c>
      <c r="I356" s="2">
        <v>0</v>
      </c>
      <c r="J356" s="2">
        <f t="shared" si="11"/>
        <v>0.5286683333333333</v>
      </c>
      <c r="K356" t="s">
        <v>1153</v>
      </c>
      <c r="L356">
        <v>1</v>
      </c>
      <c r="M356">
        <v>28.279900000000001</v>
      </c>
      <c r="N356">
        <v>28.279900000000001</v>
      </c>
      <c r="O356">
        <v>0</v>
      </c>
      <c r="P356">
        <v>28.279900000000001</v>
      </c>
      <c r="Q356">
        <v>1</v>
      </c>
      <c r="R356">
        <v>28.28</v>
      </c>
      <c r="S356" t="s">
        <v>24</v>
      </c>
      <c r="T356" t="s">
        <v>24</v>
      </c>
      <c r="U356" t="s">
        <v>24</v>
      </c>
      <c r="V356" t="s">
        <v>25</v>
      </c>
      <c r="W356" t="s">
        <v>1153</v>
      </c>
      <c r="X356" t="s">
        <v>26</v>
      </c>
      <c r="Y356" t="s">
        <v>24</v>
      </c>
    </row>
    <row r="357" spans="1:25" x14ac:dyDescent="0.35">
      <c r="A357" s="1" t="s">
        <v>1154</v>
      </c>
      <c r="B357" s="1" t="s">
        <v>1155</v>
      </c>
      <c r="C357" s="1" t="s">
        <v>29</v>
      </c>
      <c r="D357" s="1" t="s">
        <v>30</v>
      </c>
      <c r="E357" s="2" t="s">
        <v>2254</v>
      </c>
      <c r="F357" s="2" t="s">
        <v>1913</v>
      </c>
      <c r="G357" s="6">
        <v>380</v>
      </c>
      <c r="H357" s="8">
        <f t="shared" si="12"/>
        <v>327.58620689655174</v>
      </c>
      <c r="I357" s="2">
        <v>16</v>
      </c>
      <c r="J357" s="2">
        <f t="shared" si="11"/>
        <v>0.64944128421052638</v>
      </c>
      <c r="K357" t="s">
        <v>1156</v>
      </c>
      <c r="L357">
        <v>2</v>
      </c>
      <c r="M357">
        <v>114.8382</v>
      </c>
      <c r="N357">
        <v>114.8382</v>
      </c>
      <c r="O357">
        <v>0</v>
      </c>
      <c r="P357">
        <v>229.6764</v>
      </c>
      <c r="Q357">
        <v>2</v>
      </c>
      <c r="R357">
        <v>229.68</v>
      </c>
      <c r="S357" t="s">
        <v>24</v>
      </c>
      <c r="T357" t="s">
        <v>24</v>
      </c>
      <c r="U357" t="s">
        <v>24</v>
      </c>
      <c r="V357" t="s">
        <v>25</v>
      </c>
      <c r="W357" t="s">
        <v>1156</v>
      </c>
      <c r="X357" t="s">
        <v>26</v>
      </c>
      <c r="Y357" t="s">
        <v>24</v>
      </c>
    </row>
    <row r="358" spans="1:25" x14ac:dyDescent="0.35">
      <c r="A358" s="1" t="s">
        <v>1154</v>
      </c>
      <c r="B358" s="1" t="s">
        <v>1155</v>
      </c>
      <c r="C358" s="1" t="s">
        <v>295</v>
      </c>
      <c r="D358" s="1" t="s">
        <v>296</v>
      </c>
      <c r="E358" s="2" t="s">
        <v>2254</v>
      </c>
      <c r="F358" s="2" t="s">
        <v>1913</v>
      </c>
      <c r="G358" s="6">
        <v>380</v>
      </c>
      <c r="H358" s="8">
        <f t="shared" si="12"/>
        <v>327.58620689655174</v>
      </c>
      <c r="I358" s="2">
        <v>16</v>
      </c>
      <c r="J358" s="2">
        <f t="shared" si="11"/>
        <v>0.64803463157894736</v>
      </c>
      <c r="K358" t="s">
        <v>1157</v>
      </c>
      <c r="L358">
        <v>1</v>
      </c>
      <c r="M358">
        <v>115.29900000000001</v>
      </c>
      <c r="N358">
        <v>115.29900000000001</v>
      </c>
      <c r="O358">
        <v>0</v>
      </c>
      <c r="P358">
        <v>115.29900000000001</v>
      </c>
      <c r="Q358">
        <v>1</v>
      </c>
      <c r="R358">
        <v>115.3</v>
      </c>
      <c r="S358" t="s">
        <v>24</v>
      </c>
      <c r="T358" t="s">
        <v>24</v>
      </c>
      <c r="U358" t="s">
        <v>24</v>
      </c>
      <c r="V358" t="s">
        <v>25</v>
      </c>
      <c r="W358" t="s">
        <v>1157</v>
      </c>
      <c r="X358" t="s">
        <v>26</v>
      </c>
      <c r="Y358" t="s">
        <v>24</v>
      </c>
    </row>
    <row r="359" spans="1:25" x14ac:dyDescent="0.35">
      <c r="A359" s="1" t="s">
        <v>1158</v>
      </c>
      <c r="B359" s="1" t="s">
        <v>1159</v>
      </c>
      <c r="C359" s="1" t="s">
        <v>265</v>
      </c>
      <c r="D359" s="1" t="s">
        <v>266</v>
      </c>
      <c r="E359" s="2" t="s">
        <v>2255</v>
      </c>
      <c r="F359" s="2" t="s">
        <v>2061</v>
      </c>
      <c r="G359" s="6">
        <v>100</v>
      </c>
      <c r="H359" s="8">
        <f t="shared" si="12"/>
        <v>100</v>
      </c>
      <c r="I359" s="2">
        <v>0</v>
      </c>
      <c r="J359" s="2">
        <f t="shared" si="11"/>
        <v>0.6115870000000001</v>
      </c>
      <c r="K359" t="s">
        <v>1160</v>
      </c>
      <c r="L359">
        <v>2</v>
      </c>
      <c r="M359">
        <v>38.841299999999997</v>
      </c>
      <c r="N359">
        <v>38.841299999999997</v>
      </c>
      <c r="O359">
        <v>0</v>
      </c>
      <c r="P359">
        <v>77.682599999999994</v>
      </c>
      <c r="Q359">
        <v>2</v>
      </c>
      <c r="R359">
        <v>77.680000000000007</v>
      </c>
      <c r="S359" t="s">
        <v>24</v>
      </c>
      <c r="T359" t="s">
        <v>24</v>
      </c>
      <c r="U359" t="s">
        <v>24</v>
      </c>
      <c r="V359" t="s">
        <v>25</v>
      </c>
      <c r="W359" t="s">
        <v>1160</v>
      </c>
      <c r="X359" t="s">
        <v>26</v>
      </c>
      <c r="Y359" t="s">
        <v>24</v>
      </c>
    </row>
    <row r="360" spans="1:25" x14ac:dyDescent="0.35">
      <c r="A360" s="1" t="s">
        <v>1161</v>
      </c>
      <c r="B360" s="1" t="s">
        <v>1162</v>
      </c>
      <c r="C360" s="1" t="s">
        <v>29</v>
      </c>
      <c r="D360" s="1" t="s">
        <v>30</v>
      </c>
      <c r="E360" s="2" t="s">
        <v>2256</v>
      </c>
      <c r="F360" s="2" t="s">
        <v>1913</v>
      </c>
      <c r="G360" s="6">
        <v>380</v>
      </c>
      <c r="H360" s="8">
        <f t="shared" si="12"/>
        <v>327.58620689655174</v>
      </c>
      <c r="I360" s="2">
        <v>16</v>
      </c>
      <c r="J360" s="2">
        <f t="shared" si="11"/>
        <v>0.64783865263157892</v>
      </c>
      <c r="K360" t="s">
        <v>1163</v>
      </c>
      <c r="L360">
        <v>2</v>
      </c>
      <c r="M360">
        <v>115.36320000000001</v>
      </c>
      <c r="N360">
        <v>115.3631</v>
      </c>
      <c r="O360">
        <v>0</v>
      </c>
      <c r="P360">
        <v>230.72640000000001</v>
      </c>
      <c r="Q360">
        <v>2</v>
      </c>
      <c r="R360">
        <v>230.73</v>
      </c>
      <c r="S360" t="s">
        <v>24</v>
      </c>
      <c r="T360" t="s">
        <v>24</v>
      </c>
      <c r="U360" t="s">
        <v>24</v>
      </c>
      <c r="V360" t="s">
        <v>25</v>
      </c>
      <c r="W360" t="s">
        <v>1163</v>
      </c>
      <c r="X360" t="s">
        <v>26</v>
      </c>
      <c r="Y360" t="s">
        <v>24</v>
      </c>
    </row>
    <row r="361" spans="1:25" x14ac:dyDescent="0.35">
      <c r="A361" s="1" t="s">
        <v>1164</v>
      </c>
      <c r="B361" s="1" t="s">
        <v>1165</v>
      </c>
      <c r="C361" s="1" t="s">
        <v>295</v>
      </c>
      <c r="D361" s="1" t="s">
        <v>296</v>
      </c>
      <c r="E361" s="2" t="s">
        <v>2257</v>
      </c>
      <c r="F361" s="2" t="s">
        <v>1913</v>
      </c>
      <c r="G361" s="6">
        <v>380</v>
      </c>
      <c r="H361" s="8">
        <f t="shared" si="12"/>
        <v>327.58620689655174</v>
      </c>
      <c r="I361" s="2">
        <v>16</v>
      </c>
      <c r="J361" s="2">
        <f t="shared" si="11"/>
        <v>0.64802303157894736</v>
      </c>
      <c r="K361" t="s">
        <v>1166</v>
      </c>
      <c r="L361">
        <v>4</v>
      </c>
      <c r="M361">
        <v>115.3028</v>
      </c>
      <c r="N361">
        <v>115.3028</v>
      </c>
      <c r="O361">
        <v>0</v>
      </c>
      <c r="P361">
        <v>461.21120000000002</v>
      </c>
      <c r="Q361">
        <v>4</v>
      </c>
      <c r="R361">
        <v>461.21</v>
      </c>
      <c r="S361" t="s">
        <v>24</v>
      </c>
      <c r="T361" t="s">
        <v>24</v>
      </c>
      <c r="U361" t="s">
        <v>24</v>
      </c>
      <c r="V361" t="s">
        <v>25</v>
      </c>
      <c r="W361" t="s">
        <v>1166</v>
      </c>
      <c r="X361" t="s">
        <v>26</v>
      </c>
      <c r="Y361" t="s">
        <v>24</v>
      </c>
    </row>
    <row r="362" spans="1:25" x14ac:dyDescent="0.35">
      <c r="A362" s="1" t="s">
        <v>1167</v>
      </c>
      <c r="B362" s="1" t="s">
        <v>1168</v>
      </c>
      <c r="C362" s="1" t="s">
        <v>392</v>
      </c>
      <c r="D362" s="1" t="s">
        <v>393</v>
      </c>
      <c r="E362" s="2" t="s">
        <v>2258</v>
      </c>
      <c r="F362" s="2" t="s">
        <v>1975</v>
      </c>
      <c r="G362" s="6">
        <v>180</v>
      </c>
      <c r="H362" s="8">
        <f t="shared" si="12"/>
        <v>155.17241379310346</v>
      </c>
      <c r="I362" s="2">
        <v>16</v>
      </c>
      <c r="J362" s="2">
        <f t="shared" si="11"/>
        <v>0.37488888888888894</v>
      </c>
      <c r="K362" t="s">
        <v>1169</v>
      </c>
      <c r="L362">
        <v>1</v>
      </c>
      <c r="M362">
        <v>97</v>
      </c>
      <c r="N362">
        <v>97</v>
      </c>
      <c r="O362">
        <v>0</v>
      </c>
      <c r="P362">
        <v>97</v>
      </c>
      <c r="Q362">
        <v>1</v>
      </c>
      <c r="R362">
        <v>97</v>
      </c>
      <c r="S362" t="s">
        <v>24</v>
      </c>
      <c r="T362" t="s">
        <v>24</v>
      </c>
      <c r="U362" t="s">
        <v>24</v>
      </c>
      <c r="V362" t="s">
        <v>25</v>
      </c>
      <c r="W362" t="s">
        <v>1169</v>
      </c>
      <c r="X362" t="s">
        <v>26</v>
      </c>
      <c r="Y362" t="s">
        <v>24</v>
      </c>
    </row>
    <row r="363" spans="1:25" x14ac:dyDescent="0.35">
      <c r="A363" s="1" t="s">
        <v>1170</v>
      </c>
      <c r="B363" s="1" t="s">
        <v>1171</v>
      </c>
      <c r="C363" s="1" t="s">
        <v>392</v>
      </c>
      <c r="D363" s="1" t="s">
        <v>393</v>
      </c>
      <c r="E363" s="2" t="s">
        <v>2259</v>
      </c>
      <c r="F363" s="2" t="s">
        <v>1975</v>
      </c>
      <c r="G363" s="6">
        <v>180</v>
      </c>
      <c r="H363" s="8">
        <f t="shared" si="12"/>
        <v>155.17241379310346</v>
      </c>
      <c r="I363" s="2">
        <v>16</v>
      </c>
      <c r="J363" s="2">
        <f t="shared" si="11"/>
        <v>0.4522222222222223</v>
      </c>
      <c r="K363" t="s">
        <v>1172</v>
      </c>
      <c r="L363">
        <v>2</v>
      </c>
      <c r="M363">
        <v>85</v>
      </c>
      <c r="N363">
        <v>85</v>
      </c>
      <c r="O363">
        <v>0</v>
      </c>
      <c r="P363">
        <v>170</v>
      </c>
      <c r="Q363">
        <v>2</v>
      </c>
      <c r="R363">
        <v>170</v>
      </c>
      <c r="S363" t="s">
        <v>24</v>
      </c>
      <c r="T363" t="s">
        <v>24</v>
      </c>
      <c r="U363" t="s">
        <v>24</v>
      </c>
      <c r="V363" t="s">
        <v>25</v>
      </c>
      <c r="W363" t="s">
        <v>1172</v>
      </c>
      <c r="X363" t="s">
        <v>26</v>
      </c>
      <c r="Y363" t="s">
        <v>24</v>
      </c>
    </row>
    <row r="364" spans="1:25" x14ac:dyDescent="0.35">
      <c r="A364" s="1" t="s">
        <v>1173</v>
      </c>
      <c r="B364" s="1" t="s">
        <v>1174</v>
      </c>
      <c r="C364" s="1" t="s">
        <v>392</v>
      </c>
      <c r="D364" s="1" t="s">
        <v>393</v>
      </c>
      <c r="E364" s="2" t="s">
        <v>2260</v>
      </c>
      <c r="F364" s="2" t="s">
        <v>1975</v>
      </c>
      <c r="G364" s="6">
        <v>180</v>
      </c>
      <c r="H364" s="8">
        <f t="shared" si="12"/>
        <v>155.17241379310346</v>
      </c>
      <c r="I364" s="2">
        <v>16</v>
      </c>
      <c r="J364" s="2">
        <f t="shared" si="11"/>
        <v>0.4522222222222223</v>
      </c>
      <c r="K364" t="s">
        <v>1175</v>
      </c>
      <c r="L364">
        <v>1</v>
      </c>
      <c r="M364">
        <v>85</v>
      </c>
      <c r="N364">
        <v>85</v>
      </c>
      <c r="O364">
        <v>0</v>
      </c>
      <c r="P364">
        <v>85</v>
      </c>
      <c r="Q364">
        <v>1</v>
      </c>
      <c r="R364">
        <v>85</v>
      </c>
      <c r="S364" t="s">
        <v>24</v>
      </c>
      <c r="T364" t="s">
        <v>24</v>
      </c>
      <c r="U364" t="s">
        <v>24</v>
      </c>
      <c r="V364" t="s">
        <v>25</v>
      </c>
      <c r="W364" t="s">
        <v>1175</v>
      </c>
      <c r="X364" t="s">
        <v>26</v>
      </c>
      <c r="Y364" t="s">
        <v>24</v>
      </c>
    </row>
    <row r="365" spans="1:25" x14ac:dyDescent="0.35">
      <c r="A365" s="1" t="s">
        <v>1176</v>
      </c>
      <c r="B365" s="1" t="s">
        <v>1177</v>
      </c>
      <c r="C365" s="1" t="s">
        <v>392</v>
      </c>
      <c r="D365" s="1" t="s">
        <v>393</v>
      </c>
      <c r="E365" s="2" t="s">
        <v>2261</v>
      </c>
      <c r="F365" s="2" t="s">
        <v>1975</v>
      </c>
      <c r="G365" s="6">
        <v>180</v>
      </c>
      <c r="H365" s="8">
        <f t="shared" si="12"/>
        <v>155.17241379310346</v>
      </c>
      <c r="I365" s="2">
        <v>16</v>
      </c>
      <c r="J365" s="2">
        <f t="shared" si="11"/>
        <v>0.42000000000000004</v>
      </c>
      <c r="K365" t="s">
        <v>1178</v>
      </c>
      <c r="L365">
        <v>2</v>
      </c>
      <c r="M365">
        <v>90</v>
      </c>
      <c r="N365">
        <v>90</v>
      </c>
      <c r="O365">
        <v>0</v>
      </c>
      <c r="P365">
        <v>180</v>
      </c>
      <c r="Q365">
        <v>2</v>
      </c>
      <c r="R365">
        <v>180</v>
      </c>
      <c r="S365" t="s">
        <v>24</v>
      </c>
      <c r="T365" t="s">
        <v>24</v>
      </c>
      <c r="U365" t="s">
        <v>24</v>
      </c>
      <c r="V365" t="s">
        <v>25</v>
      </c>
      <c r="W365" t="s">
        <v>1178</v>
      </c>
      <c r="X365" t="s">
        <v>26</v>
      </c>
      <c r="Y365" t="s">
        <v>24</v>
      </c>
    </row>
    <row r="366" spans="1:25" x14ac:dyDescent="0.35">
      <c r="A366" s="1" t="s">
        <v>1179</v>
      </c>
      <c r="B366" s="1" t="s">
        <v>1180</v>
      </c>
      <c r="C366" s="1" t="s">
        <v>392</v>
      </c>
      <c r="D366" s="1" t="s">
        <v>393</v>
      </c>
      <c r="E366" s="2" t="s">
        <v>2262</v>
      </c>
      <c r="F366" s="2" t="s">
        <v>1975</v>
      </c>
      <c r="G366" s="6">
        <v>780</v>
      </c>
      <c r="H366" s="8">
        <f t="shared" si="12"/>
        <v>672.41379310344837</v>
      </c>
      <c r="I366" s="2">
        <v>16</v>
      </c>
      <c r="J366" s="2">
        <f t="shared" si="11"/>
        <v>0.35307692307692318</v>
      </c>
      <c r="K366" t="s">
        <v>1181</v>
      </c>
      <c r="L366">
        <v>3</v>
      </c>
      <c r="M366">
        <v>435</v>
      </c>
      <c r="N366">
        <v>435</v>
      </c>
      <c r="O366">
        <v>0</v>
      </c>
      <c r="P366">
        <v>1305</v>
      </c>
      <c r="Q366">
        <v>3</v>
      </c>
      <c r="R366">
        <v>1305</v>
      </c>
      <c r="S366" t="s">
        <v>24</v>
      </c>
      <c r="T366" t="s">
        <v>24</v>
      </c>
      <c r="U366" t="s">
        <v>24</v>
      </c>
      <c r="V366" t="s">
        <v>25</v>
      </c>
      <c r="W366" t="s">
        <v>1181</v>
      </c>
      <c r="X366" t="s">
        <v>26</v>
      </c>
      <c r="Y366" t="s">
        <v>24</v>
      </c>
    </row>
    <row r="367" spans="1:25" x14ac:dyDescent="0.35">
      <c r="A367" s="1" t="s">
        <v>1182</v>
      </c>
      <c r="B367" s="1" t="s">
        <v>1183</v>
      </c>
      <c r="C367" s="1" t="s">
        <v>431</v>
      </c>
      <c r="D367" s="1" t="s">
        <v>432</v>
      </c>
      <c r="E367" s="2" t="s">
        <v>2263</v>
      </c>
      <c r="F367" s="2" t="s">
        <v>1975</v>
      </c>
      <c r="G367" s="6">
        <v>1780</v>
      </c>
      <c r="H367" s="8">
        <f t="shared" si="12"/>
        <v>1534.4827586206898</v>
      </c>
      <c r="I367" s="2">
        <v>16</v>
      </c>
      <c r="J367" s="2">
        <f t="shared" si="11"/>
        <v>0.71651685393258435</v>
      </c>
      <c r="K367" t="s">
        <v>1184</v>
      </c>
      <c r="L367">
        <v>1</v>
      </c>
      <c r="M367">
        <v>435</v>
      </c>
      <c r="N367">
        <v>435</v>
      </c>
      <c r="O367">
        <v>0</v>
      </c>
      <c r="P367">
        <v>435</v>
      </c>
      <c r="Q367">
        <v>1</v>
      </c>
      <c r="R367">
        <v>435</v>
      </c>
      <c r="S367" t="s">
        <v>24</v>
      </c>
      <c r="T367" t="s">
        <v>24</v>
      </c>
      <c r="U367" t="s">
        <v>24</v>
      </c>
      <c r="V367" t="s">
        <v>25</v>
      </c>
      <c r="W367" t="s">
        <v>1184</v>
      </c>
      <c r="X367" t="s">
        <v>26</v>
      </c>
      <c r="Y367" t="s">
        <v>24</v>
      </c>
    </row>
    <row r="368" spans="1:25" x14ac:dyDescent="0.35">
      <c r="A368" s="1" t="s">
        <v>1185</v>
      </c>
      <c r="B368" s="1" t="s">
        <v>1186</v>
      </c>
      <c r="C368" s="1" t="s">
        <v>249</v>
      </c>
      <c r="D368" s="1" t="s">
        <v>250</v>
      </c>
      <c r="E368" s="2" t="s">
        <v>2264</v>
      </c>
      <c r="F368" s="2" t="s">
        <v>1975</v>
      </c>
      <c r="G368" s="6">
        <v>240</v>
      </c>
      <c r="H368" s="8">
        <f t="shared" si="12"/>
        <v>206.89655172413794</v>
      </c>
      <c r="I368" s="2">
        <v>16</v>
      </c>
      <c r="J368" s="2">
        <f t="shared" si="11"/>
        <v>0.32816666666666672</v>
      </c>
      <c r="K368" t="s">
        <v>1187</v>
      </c>
      <c r="L368">
        <v>5</v>
      </c>
      <c r="M368">
        <v>139</v>
      </c>
      <c r="N368">
        <v>139</v>
      </c>
      <c r="O368">
        <v>0</v>
      </c>
      <c r="P368">
        <v>695</v>
      </c>
      <c r="Q368">
        <v>5</v>
      </c>
      <c r="R368">
        <v>695</v>
      </c>
      <c r="S368" t="s">
        <v>24</v>
      </c>
      <c r="T368" t="s">
        <v>24</v>
      </c>
      <c r="U368" t="s">
        <v>24</v>
      </c>
      <c r="V368" t="s">
        <v>25</v>
      </c>
      <c r="W368" t="s">
        <v>1187</v>
      </c>
      <c r="X368" t="s">
        <v>26</v>
      </c>
      <c r="Y368" t="s">
        <v>24</v>
      </c>
    </row>
    <row r="369" spans="1:25" x14ac:dyDescent="0.35">
      <c r="A369" s="1" t="s">
        <v>1188</v>
      </c>
      <c r="B369" s="1" t="s">
        <v>1189</v>
      </c>
      <c r="C369" s="1" t="s">
        <v>453</v>
      </c>
      <c r="D369" s="1" t="s">
        <v>454</v>
      </c>
      <c r="E369" s="2" t="s">
        <v>2265</v>
      </c>
      <c r="F369" s="2" t="s">
        <v>1911</v>
      </c>
      <c r="G369" s="6">
        <v>1780</v>
      </c>
      <c r="H369" s="8">
        <f t="shared" si="12"/>
        <v>1534.4827586206898</v>
      </c>
      <c r="I369" s="2">
        <v>16</v>
      </c>
      <c r="J369" s="2">
        <f t="shared" si="11"/>
        <v>0.70739325842696632</v>
      </c>
      <c r="K369" t="s">
        <v>1190</v>
      </c>
      <c r="L369">
        <v>2</v>
      </c>
      <c r="M369">
        <v>449</v>
      </c>
      <c r="N369">
        <v>449</v>
      </c>
      <c r="O369">
        <v>0</v>
      </c>
      <c r="P369">
        <v>898</v>
      </c>
      <c r="Q369">
        <v>2</v>
      </c>
      <c r="R369">
        <v>898</v>
      </c>
      <c r="S369" t="s">
        <v>24</v>
      </c>
      <c r="T369" t="s">
        <v>24</v>
      </c>
      <c r="U369" t="s">
        <v>24</v>
      </c>
      <c r="V369" t="s">
        <v>25</v>
      </c>
      <c r="W369" t="s">
        <v>1190</v>
      </c>
      <c r="X369" t="s">
        <v>26</v>
      </c>
      <c r="Y369" t="s">
        <v>24</v>
      </c>
    </row>
    <row r="370" spans="1:25" x14ac:dyDescent="0.35">
      <c r="A370" s="1" t="s">
        <v>1191</v>
      </c>
      <c r="B370" s="1" t="s">
        <v>1192</v>
      </c>
      <c r="C370" s="1" t="s">
        <v>392</v>
      </c>
      <c r="D370" s="1" t="s">
        <v>393</v>
      </c>
      <c r="E370" s="2" t="s">
        <v>2266</v>
      </c>
      <c r="F370" s="2" t="s">
        <v>1911</v>
      </c>
      <c r="G370" s="6">
        <v>6240</v>
      </c>
      <c r="H370" s="8">
        <f t="shared" si="12"/>
        <v>5379.310344827587</v>
      </c>
      <c r="I370" s="2">
        <v>16</v>
      </c>
      <c r="J370" s="2">
        <f t="shared" si="11"/>
        <v>0.70034820512820517</v>
      </c>
      <c r="K370" t="s">
        <v>1193</v>
      </c>
      <c r="L370">
        <v>3</v>
      </c>
      <c r="M370">
        <v>1611.92</v>
      </c>
      <c r="N370">
        <v>1611.92</v>
      </c>
      <c r="O370">
        <v>0</v>
      </c>
      <c r="P370">
        <v>4835.76</v>
      </c>
      <c r="Q370">
        <v>3</v>
      </c>
      <c r="R370">
        <v>4835.76</v>
      </c>
      <c r="S370" t="s">
        <v>24</v>
      </c>
      <c r="T370" t="s">
        <v>24</v>
      </c>
      <c r="U370" t="s">
        <v>24</v>
      </c>
      <c r="V370" t="s">
        <v>25</v>
      </c>
      <c r="W370" t="s">
        <v>1193</v>
      </c>
      <c r="X370" t="s">
        <v>26</v>
      </c>
      <c r="Y370" t="s">
        <v>24</v>
      </c>
    </row>
    <row r="371" spans="1:25" x14ac:dyDescent="0.35">
      <c r="A371" s="1" t="s">
        <v>1194</v>
      </c>
      <c r="B371" s="1" t="s">
        <v>1195</v>
      </c>
      <c r="C371" s="1" t="s">
        <v>392</v>
      </c>
      <c r="D371" s="1" t="s">
        <v>393</v>
      </c>
      <c r="E371" s="2" t="s">
        <v>2267</v>
      </c>
      <c r="F371" s="2" t="s">
        <v>1975</v>
      </c>
      <c r="G371" s="6">
        <v>180</v>
      </c>
      <c r="H371" s="8">
        <f t="shared" si="12"/>
        <v>155.17241379310346</v>
      </c>
      <c r="I371" s="2">
        <v>16</v>
      </c>
      <c r="J371" s="2">
        <f t="shared" si="11"/>
        <v>0.42000000000000004</v>
      </c>
      <c r="K371" t="s">
        <v>1196</v>
      </c>
      <c r="L371">
        <v>1</v>
      </c>
      <c r="M371">
        <v>90</v>
      </c>
      <c r="N371">
        <v>90</v>
      </c>
      <c r="O371">
        <v>0</v>
      </c>
      <c r="P371">
        <v>90</v>
      </c>
      <c r="Q371">
        <v>1</v>
      </c>
      <c r="R371">
        <v>90</v>
      </c>
      <c r="S371" t="s">
        <v>24</v>
      </c>
      <c r="T371" t="s">
        <v>24</v>
      </c>
      <c r="U371" t="s">
        <v>24</v>
      </c>
      <c r="V371" t="s">
        <v>25</v>
      </c>
      <c r="W371" t="s">
        <v>1196</v>
      </c>
      <c r="X371" t="s">
        <v>26</v>
      </c>
      <c r="Y371" t="s">
        <v>24</v>
      </c>
    </row>
    <row r="372" spans="1:25" x14ac:dyDescent="0.35">
      <c r="A372" s="1" t="s">
        <v>1197</v>
      </c>
      <c r="B372" s="1" t="s">
        <v>1198</v>
      </c>
      <c r="C372" s="1" t="s">
        <v>392</v>
      </c>
      <c r="D372" s="1" t="s">
        <v>393</v>
      </c>
      <c r="E372" s="2" t="s">
        <v>2268</v>
      </c>
      <c r="F372" s="2" t="s">
        <v>1975</v>
      </c>
      <c r="G372" s="6">
        <v>180</v>
      </c>
      <c r="H372" s="8">
        <f t="shared" si="12"/>
        <v>155.17241379310346</v>
      </c>
      <c r="I372" s="2">
        <v>16</v>
      </c>
      <c r="J372" s="2">
        <f t="shared" si="11"/>
        <v>0.37488888888888894</v>
      </c>
      <c r="K372" t="s">
        <v>1199</v>
      </c>
      <c r="L372">
        <v>2</v>
      </c>
      <c r="M372">
        <v>97</v>
      </c>
      <c r="N372">
        <v>97</v>
      </c>
      <c r="O372">
        <v>0</v>
      </c>
      <c r="P372">
        <v>194</v>
      </c>
      <c r="Q372">
        <v>2</v>
      </c>
      <c r="R372">
        <v>194</v>
      </c>
      <c r="S372" t="s">
        <v>24</v>
      </c>
      <c r="T372" t="s">
        <v>24</v>
      </c>
      <c r="U372" t="s">
        <v>24</v>
      </c>
      <c r="V372" t="s">
        <v>25</v>
      </c>
      <c r="W372" t="s">
        <v>1199</v>
      </c>
      <c r="X372" t="s">
        <v>26</v>
      </c>
      <c r="Y372" t="s">
        <v>24</v>
      </c>
    </row>
    <row r="373" spans="1:25" x14ac:dyDescent="0.35">
      <c r="A373" s="1" t="s">
        <v>1200</v>
      </c>
      <c r="B373" s="1" t="s">
        <v>1201</v>
      </c>
      <c r="C373" s="1" t="s">
        <v>453</v>
      </c>
      <c r="D373" s="1" t="s">
        <v>454</v>
      </c>
      <c r="E373" s="2" t="s">
        <v>2269</v>
      </c>
      <c r="F373" s="2" t="s">
        <v>1911</v>
      </c>
      <c r="G373" s="6">
        <v>1780</v>
      </c>
      <c r="H373" s="8">
        <f t="shared" si="12"/>
        <v>1534.4827586206898</v>
      </c>
      <c r="I373" s="2">
        <v>16</v>
      </c>
      <c r="J373" s="2">
        <f t="shared" si="11"/>
        <v>0.70739325842696632</v>
      </c>
      <c r="K373" t="s">
        <v>1202</v>
      </c>
      <c r="L373">
        <v>2</v>
      </c>
      <c r="M373">
        <v>449</v>
      </c>
      <c r="N373">
        <v>449</v>
      </c>
      <c r="O373">
        <v>0</v>
      </c>
      <c r="P373">
        <v>898</v>
      </c>
      <c r="Q373">
        <v>2</v>
      </c>
      <c r="R373">
        <v>898</v>
      </c>
      <c r="S373" t="s">
        <v>24</v>
      </c>
      <c r="T373" t="s">
        <v>24</v>
      </c>
      <c r="U373" t="s">
        <v>24</v>
      </c>
      <c r="V373" t="s">
        <v>25</v>
      </c>
      <c r="W373" t="s">
        <v>1202</v>
      </c>
      <c r="X373" t="s">
        <v>26</v>
      </c>
      <c r="Y373" t="s">
        <v>24</v>
      </c>
    </row>
    <row r="374" spans="1:25" x14ac:dyDescent="0.35">
      <c r="A374" s="1" t="s">
        <v>1203</v>
      </c>
      <c r="B374" s="1" t="s">
        <v>1204</v>
      </c>
      <c r="C374" s="1" t="s">
        <v>392</v>
      </c>
      <c r="D374" s="1" t="s">
        <v>393</v>
      </c>
      <c r="E374" s="2" t="s">
        <v>2270</v>
      </c>
      <c r="F374" s="2" t="s">
        <v>1911</v>
      </c>
      <c r="G374" s="6">
        <v>6620</v>
      </c>
      <c r="H374" s="8">
        <f t="shared" si="12"/>
        <v>5706.8965517241386</v>
      </c>
      <c r="I374" s="2">
        <v>16</v>
      </c>
      <c r="J374" s="2">
        <f t="shared" si="11"/>
        <v>0.70021184290030214</v>
      </c>
      <c r="K374" t="s">
        <v>1205</v>
      </c>
      <c r="L374">
        <v>1</v>
      </c>
      <c r="M374">
        <v>1710.86</v>
      </c>
      <c r="N374">
        <v>1710.86</v>
      </c>
      <c r="O374">
        <v>0</v>
      </c>
      <c r="P374">
        <v>1710.86</v>
      </c>
      <c r="Q374">
        <v>1</v>
      </c>
      <c r="R374">
        <v>1710.86</v>
      </c>
      <c r="S374" t="s">
        <v>24</v>
      </c>
      <c r="T374" t="s">
        <v>24</v>
      </c>
      <c r="U374" t="s">
        <v>24</v>
      </c>
      <c r="V374" t="s">
        <v>25</v>
      </c>
      <c r="W374" t="s">
        <v>1205</v>
      </c>
      <c r="X374" t="s">
        <v>26</v>
      </c>
      <c r="Y374" t="s">
        <v>24</v>
      </c>
    </row>
    <row r="375" spans="1:25" x14ac:dyDescent="0.35">
      <c r="A375" s="1" t="s">
        <v>1206</v>
      </c>
      <c r="B375" s="1" t="s">
        <v>1207</v>
      </c>
      <c r="C375" s="1" t="s">
        <v>392</v>
      </c>
      <c r="D375" s="1" t="s">
        <v>393</v>
      </c>
      <c r="E375" s="2" t="s">
        <v>2271</v>
      </c>
      <c r="F375" s="2" t="s">
        <v>1911</v>
      </c>
      <c r="G375" s="6">
        <v>13080</v>
      </c>
      <c r="H375" s="8">
        <f t="shared" si="12"/>
        <v>11275.862068965518</v>
      </c>
      <c r="I375" s="2">
        <v>16</v>
      </c>
      <c r="J375" s="2">
        <f t="shared" si="11"/>
        <v>0.7001329051987768</v>
      </c>
      <c r="K375" t="s">
        <v>1208</v>
      </c>
      <c r="L375">
        <v>3</v>
      </c>
      <c r="M375">
        <v>3381.26</v>
      </c>
      <c r="N375">
        <v>3381.26</v>
      </c>
      <c r="O375">
        <v>0</v>
      </c>
      <c r="P375">
        <v>10143.780000000001</v>
      </c>
      <c r="Q375">
        <v>3</v>
      </c>
      <c r="R375">
        <v>10143.780000000001</v>
      </c>
      <c r="S375" t="s">
        <v>24</v>
      </c>
      <c r="T375" t="s">
        <v>24</v>
      </c>
      <c r="U375" t="s">
        <v>24</v>
      </c>
      <c r="V375" t="s">
        <v>25</v>
      </c>
      <c r="W375" t="s">
        <v>1208</v>
      </c>
      <c r="X375" t="s">
        <v>26</v>
      </c>
      <c r="Y375" t="s">
        <v>24</v>
      </c>
    </row>
    <row r="376" spans="1:25" x14ac:dyDescent="0.35">
      <c r="A376" s="1" t="s">
        <v>1209</v>
      </c>
      <c r="B376" s="1" t="s">
        <v>1210</v>
      </c>
      <c r="C376" s="1" t="s">
        <v>392</v>
      </c>
      <c r="D376" s="1" t="s">
        <v>393</v>
      </c>
      <c r="E376" s="2" t="s">
        <v>2272</v>
      </c>
      <c r="F376" s="2" t="s">
        <v>1911</v>
      </c>
      <c r="G376" s="6">
        <v>7200</v>
      </c>
      <c r="H376" s="8">
        <f t="shared" si="12"/>
        <v>6206.8965517241386</v>
      </c>
      <c r="I376" s="2">
        <v>16</v>
      </c>
      <c r="J376" s="2">
        <f t="shared" si="11"/>
        <v>0.69965505555555563</v>
      </c>
      <c r="K376" t="s">
        <v>1211</v>
      </c>
      <c r="L376">
        <v>3</v>
      </c>
      <c r="M376">
        <v>1864.21</v>
      </c>
      <c r="N376">
        <v>1864.21</v>
      </c>
      <c r="O376">
        <v>0</v>
      </c>
      <c r="P376">
        <v>5592.63</v>
      </c>
      <c r="Q376">
        <v>3</v>
      </c>
      <c r="R376">
        <v>5592.63</v>
      </c>
      <c r="S376" t="s">
        <v>24</v>
      </c>
      <c r="T376" t="s">
        <v>24</v>
      </c>
      <c r="U376" t="s">
        <v>24</v>
      </c>
      <c r="V376" t="s">
        <v>25</v>
      </c>
      <c r="W376" t="s">
        <v>1211</v>
      </c>
      <c r="X376" t="s">
        <v>26</v>
      </c>
      <c r="Y376" t="s">
        <v>24</v>
      </c>
    </row>
    <row r="377" spans="1:25" x14ac:dyDescent="0.35">
      <c r="A377" s="1" t="s">
        <v>1212</v>
      </c>
      <c r="B377" s="1" t="s">
        <v>1213</v>
      </c>
      <c r="C377" s="1" t="s">
        <v>392</v>
      </c>
      <c r="D377" s="1" t="s">
        <v>393</v>
      </c>
      <c r="E377" s="2" t="s">
        <v>2273</v>
      </c>
      <c r="F377" s="2" t="s">
        <v>1911</v>
      </c>
      <c r="G377" s="6">
        <v>11660</v>
      </c>
      <c r="H377" s="8">
        <f t="shared" si="12"/>
        <v>10051.724137931034</v>
      </c>
      <c r="I377" s="2">
        <v>16</v>
      </c>
      <c r="J377" s="2">
        <f t="shared" si="11"/>
        <v>0.70008329331046315</v>
      </c>
      <c r="K377" t="s">
        <v>1214</v>
      </c>
      <c r="L377">
        <v>3</v>
      </c>
      <c r="M377">
        <v>3014.68</v>
      </c>
      <c r="N377">
        <v>3014.68</v>
      </c>
      <c r="O377">
        <v>0</v>
      </c>
      <c r="P377">
        <v>9044.0400000000009</v>
      </c>
      <c r="Q377">
        <v>3</v>
      </c>
      <c r="R377">
        <v>9044.0400000000009</v>
      </c>
      <c r="S377" t="s">
        <v>24</v>
      </c>
      <c r="T377" t="s">
        <v>24</v>
      </c>
      <c r="U377" t="s">
        <v>24</v>
      </c>
      <c r="V377" t="s">
        <v>25</v>
      </c>
      <c r="W377" t="s">
        <v>1214</v>
      </c>
      <c r="X377" t="s">
        <v>26</v>
      </c>
      <c r="Y377" t="s">
        <v>24</v>
      </c>
    </row>
    <row r="378" spans="1:25" x14ac:dyDescent="0.35">
      <c r="A378" s="1" t="s">
        <v>1215</v>
      </c>
      <c r="B378" s="1" t="s">
        <v>1216</v>
      </c>
      <c r="C378" s="1" t="s">
        <v>265</v>
      </c>
      <c r="D378" s="1" t="s">
        <v>266</v>
      </c>
      <c r="E378" s="2" t="s">
        <v>2274</v>
      </c>
      <c r="F378" s="2" t="s">
        <v>1975</v>
      </c>
      <c r="G378" s="6">
        <v>580</v>
      </c>
      <c r="H378" s="8">
        <f t="shared" si="12"/>
        <v>500.00000000000006</v>
      </c>
      <c r="I378" s="2">
        <v>16</v>
      </c>
      <c r="J378" s="2">
        <f t="shared" si="11"/>
        <v>0.7</v>
      </c>
      <c r="K378" t="s">
        <v>1217</v>
      </c>
      <c r="L378">
        <v>2</v>
      </c>
      <c r="M378">
        <v>150</v>
      </c>
      <c r="N378">
        <v>150</v>
      </c>
      <c r="O378">
        <v>0</v>
      </c>
      <c r="P378">
        <v>300</v>
      </c>
      <c r="Q378">
        <v>2</v>
      </c>
      <c r="R378">
        <v>300</v>
      </c>
      <c r="S378" t="s">
        <v>24</v>
      </c>
      <c r="T378" t="s">
        <v>24</v>
      </c>
      <c r="U378" t="s">
        <v>24</v>
      </c>
      <c r="V378" t="s">
        <v>25</v>
      </c>
      <c r="W378" t="s">
        <v>1217</v>
      </c>
      <c r="X378" t="s">
        <v>26</v>
      </c>
      <c r="Y378" t="s">
        <v>24</v>
      </c>
    </row>
    <row r="379" spans="1:25" x14ac:dyDescent="0.35">
      <c r="A379" s="1" t="s">
        <v>1218</v>
      </c>
      <c r="B379" s="1" t="s">
        <v>1219</v>
      </c>
      <c r="C379" s="1" t="s">
        <v>265</v>
      </c>
      <c r="D379" s="1" t="s">
        <v>266</v>
      </c>
      <c r="E379" s="2" t="s">
        <v>2275</v>
      </c>
      <c r="F379" s="2" t="s">
        <v>1975</v>
      </c>
      <c r="G379" s="6">
        <v>580</v>
      </c>
      <c r="H379" s="8">
        <f t="shared" si="12"/>
        <v>500.00000000000006</v>
      </c>
      <c r="I379" s="2">
        <v>16</v>
      </c>
      <c r="J379" s="2">
        <f t="shared" si="11"/>
        <v>0.7</v>
      </c>
      <c r="K379" t="s">
        <v>1220</v>
      </c>
      <c r="L379">
        <v>2</v>
      </c>
      <c r="M379">
        <v>150</v>
      </c>
      <c r="N379">
        <v>150</v>
      </c>
      <c r="O379">
        <v>0</v>
      </c>
      <c r="P379">
        <v>300</v>
      </c>
      <c r="Q379">
        <v>2</v>
      </c>
      <c r="R379">
        <v>300</v>
      </c>
      <c r="S379" t="s">
        <v>24</v>
      </c>
      <c r="T379" t="s">
        <v>24</v>
      </c>
      <c r="U379" t="s">
        <v>24</v>
      </c>
      <c r="V379" t="s">
        <v>25</v>
      </c>
      <c r="W379" t="s">
        <v>1220</v>
      </c>
      <c r="X379" t="s">
        <v>26</v>
      </c>
      <c r="Y379" t="s">
        <v>24</v>
      </c>
    </row>
    <row r="380" spans="1:25" x14ac:dyDescent="0.35">
      <c r="A380" s="1" t="s">
        <v>1221</v>
      </c>
      <c r="B380" s="1" t="s">
        <v>1222</v>
      </c>
      <c r="C380" s="1" t="s">
        <v>807</v>
      </c>
      <c r="D380" s="1" t="s">
        <v>808</v>
      </c>
      <c r="E380" s="2" t="s">
        <v>2276</v>
      </c>
      <c r="F380" s="2" t="s">
        <v>2061</v>
      </c>
      <c r="G380" s="6">
        <v>300</v>
      </c>
      <c r="H380" s="8">
        <f t="shared" si="12"/>
        <v>300</v>
      </c>
      <c r="I380" s="2">
        <v>0</v>
      </c>
      <c r="J380" s="2">
        <f t="shared" si="11"/>
        <v>0.6308056666666666</v>
      </c>
      <c r="K380" t="s">
        <v>1223</v>
      </c>
      <c r="L380">
        <v>3</v>
      </c>
      <c r="M380">
        <v>110.75830000000001</v>
      </c>
      <c r="N380">
        <v>110.75830000000001</v>
      </c>
      <c r="O380">
        <v>0</v>
      </c>
      <c r="P380">
        <v>332.2749</v>
      </c>
      <c r="Q380">
        <v>3</v>
      </c>
      <c r="R380">
        <v>332.27</v>
      </c>
      <c r="S380" t="s">
        <v>24</v>
      </c>
      <c r="T380" t="s">
        <v>24</v>
      </c>
      <c r="U380" t="s">
        <v>24</v>
      </c>
      <c r="V380" t="s">
        <v>25</v>
      </c>
      <c r="W380" t="s">
        <v>1223</v>
      </c>
      <c r="X380" t="s">
        <v>26</v>
      </c>
      <c r="Y380" t="s">
        <v>24</v>
      </c>
    </row>
    <row r="381" spans="1:25" x14ac:dyDescent="0.35">
      <c r="A381" s="1" t="s">
        <v>1224</v>
      </c>
      <c r="B381" s="1" t="s">
        <v>1225</v>
      </c>
      <c r="C381" s="1" t="s">
        <v>537</v>
      </c>
      <c r="D381" s="1" t="s">
        <v>538</v>
      </c>
      <c r="E381" s="2" t="s">
        <v>2277</v>
      </c>
      <c r="F381" s="2" t="s">
        <v>2061</v>
      </c>
      <c r="G381" s="6">
        <v>160</v>
      </c>
      <c r="H381" s="8">
        <f t="shared" si="12"/>
        <v>137.93103448275863</v>
      </c>
      <c r="I381" s="2">
        <v>16</v>
      </c>
      <c r="J381" s="2">
        <f t="shared" si="11"/>
        <v>0.61865000000000003</v>
      </c>
      <c r="K381" t="s">
        <v>1226</v>
      </c>
      <c r="L381">
        <v>1</v>
      </c>
      <c r="M381">
        <v>52.6</v>
      </c>
      <c r="N381">
        <v>52.6</v>
      </c>
      <c r="O381">
        <v>0</v>
      </c>
      <c r="P381">
        <v>52.6</v>
      </c>
      <c r="Q381">
        <v>1</v>
      </c>
      <c r="R381">
        <v>52.6</v>
      </c>
      <c r="S381" t="s">
        <v>24</v>
      </c>
      <c r="T381" t="s">
        <v>24</v>
      </c>
      <c r="U381" t="s">
        <v>24</v>
      </c>
      <c r="V381" t="s">
        <v>25</v>
      </c>
      <c r="W381" t="s">
        <v>1226</v>
      </c>
      <c r="X381" t="s">
        <v>26</v>
      </c>
      <c r="Y381" t="s">
        <v>24</v>
      </c>
    </row>
    <row r="382" spans="1:25" x14ac:dyDescent="0.35">
      <c r="A382" s="1" t="s">
        <v>1227</v>
      </c>
      <c r="B382" s="1" t="s">
        <v>1228</v>
      </c>
      <c r="C382" s="1" t="s">
        <v>295</v>
      </c>
      <c r="D382" s="1" t="s">
        <v>296</v>
      </c>
      <c r="E382" s="2" t="s">
        <v>2278</v>
      </c>
      <c r="F382" s="2" t="s">
        <v>1975</v>
      </c>
      <c r="G382" s="6">
        <v>1580</v>
      </c>
      <c r="H382" s="8">
        <f t="shared" si="12"/>
        <v>1362.0689655172414</v>
      </c>
      <c r="I382" s="2">
        <v>16</v>
      </c>
      <c r="J382" s="2">
        <f t="shared" si="11"/>
        <v>0.72762025316455703</v>
      </c>
      <c r="K382" t="s">
        <v>1229</v>
      </c>
      <c r="L382">
        <v>3</v>
      </c>
      <c r="M382">
        <v>371</v>
      </c>
      <c r="N382">
        <v>371</v>
      </c>
      <c r="O382">
        <v>0</v>
      </c>
      <c r="P382">
        <v>1113</v>
      </c>
      <c r="Q382">
        <v>3</v>
      </c>
      <c r="R382">
        <v>1113</v>
      </c>
      <c r="S382" t="s">
        <v>24</v>
      </c>
      <c r="T382" t="s">
        <v>24</v>
      </c>
      <c r="U382" t="s">
        <v>24</v>
      </c>
      <c r="V382" t="s">
        <v>25</v>
      </c>
      <c r="W382" t="s">
        <v>1229</v>
      </c>
      <c r="X382" t="s">
        <v>26</v>
      </c>
      <c r="Y382" t="s">
        <v>24</v>
      </c>
    </row>
    <row r="383" spans="1:25" x14ac:dyDescent="0.35">
      <c r="A383" s="1" t="s">
        <v>986</v>
      </c>
      <c r="B383" s="1" t="s">
        <v>987</v>
      </c>
      <c r="C383" s="1" t="s">
        <v>292</v>
      </c>
      <c r="D383" s="1" t="s">
        <v>293</v>
      </c>
      <c r="E383" s="2" t="s">
        <v>2199</v>
      </c>
      <c r="F383" s="2" t="s">
        <v>1975</v>
      </c>
      <c r="G383" s="6">
        <v>1860</v>
      </c>
      <c r="H383" s="8">
        <f t="shared" si="12"/>
        <v>1603.4482758620691</v>
      </c>
      <c r="I383" s="2">
        <v>16</v>
      </c>
      <c r="J383" s="2">
        <f t="shared" si="11"/>
        <v>0.70064516129032262</v>
      </c>
      <c r="K383" t="s">
        <v>1230</v>
      </c>
      <c r="L383">
        <v>1</v>
      </c>
      <c r="M383">
        <v>480</v>
      </c>
      <c r="N383">
        <v>480</v>
      </c>
      <c r="O383">
        <v>0</v>
      </c>
      <c r="P383">
        <v>480</v>
      </c>
      <c r="Q383">
        <v>1</v>
      </c>
      <c r="R383">
        <v>480</v>
      </c>
      <c r="S383" t="s">
        <v>24</v>
      </c>
      <c r="T383" t="s">
        <v>24</v>
      </c>
      <c r="U383" t="s">
        <v>24</v>
      </c>
      <c r="V383" t="s">
        <v>25</v>
      </c>
      <c r="W383" t="s">
        <v>1230</v>
      </c>
      <c r="X383" t="s">
        <v>26</v>
      </c>
      <c r="Y383" t="s">
        <v>24</v>
      </c>
    </row>
    <row r="384" spans="1:25" x14ac:dyDescent="0.35">
      <c r="A384" s="1" t="s">
        <v>1231</v>
      </c>
      <c r="B384" s="1" t="s">
        <v>1232</v>
      </c>
      <c r="C384" s="1" t="s">
        <v>34</v>
      </c>
      <c r="D384" s="1" t="s">
        <v>35</v>
      </c>
      <c r="E384" s="2" t="s">
        <v>2279</v>
      </c>
      <c r="F384" s="2" t="s">
        <v>1975</v>
      </c>
      <c r="G384" s="6">
        <v>1900</v>
      </c>
      <c r="H384" s="8">
        <f t="shared" si="12"/>
        <v>1637.9310344827588</v>
      </c>
      <c r="I384" s="2">
        <v>16</v>
      </c>
      <c r="J384" s="2">
        <f t="shared" si="11"/>
        <v>0.70084210526315793</v>
      </c>
      <c r="K384" t="s">
        <v>1233</v>
      </c>
      <c r="L384">
        <v>1</v>
      </c>
      <c r="M384">
        <v>490</v>
      </c>
      <c r="N384">
        <v>490</v>
      </c>
      <c r="O384">
        <v>0</v>
      </c>
      <c r="P384">
        <v>490</v>
      </c>
      <c r="Q384">
        <v>1</v>
      </c>
      <c r="R384">
        <v>490</v>
      </c>
      <c r="S384" t="s">
        <v>24</v>
      </c>
      <c r="T384" t="s">
        <v>24</v>
      </c>
      <c r="U384" t="s">
        <v>24</v>
      </c>
      <c r="V384" t="s">
        <v>25</v>
      </c>
      <c r="W384" t="s">
        <v>1233</v>
      </c>
      <c r="X384" t="s">
        <v>26</v>
      </c>
      <c r="Y384" t="s">
        <v>24</v>
      </c>
    </row>
    <row r="385" spans="1:25" x14ac:dyDescent="0.35">
      <c r="A385" s="1" t="s">
        <v>1234</v>
      </c>
      <c r="B385" s="1" t="s">
        <v>1235</v>
      </c>
      <c r="C385" s="1" t="s">
        <v>295</v>
      </c>
      <c r="D385" s="1" t="s">
        <v>296</v>
      </c>
      <c r="E385" s="2" t="s">
        <v>2280</v>
      </c>
      <c r="F385" s="2" t="s">
        <v>1975</v>
      </c>
      <c r="G385" s="6">
        <v>1380</v>
      </c>
      <c r="H385" s="8">
        <f t="shared" si="12"/>
        <v>1189.6551724137933</v>
      </c>
      <c r="I385" s="2">
        <v>16</v>
      </c>
      <c r="J385" s="2">
        <f t="shared" si="11"/>
        <v>0.72176811594202905</v>
      </c>
      <c r="K385" t="s">
        <v>1236</v>
      </c>
      <c r="L385">
        <v>1</v>
      </c>
      <c r="M385">
        <v>331</v>
      </c>
      <c r="N385">
        <v>331</v>
      </c>
      <c r="O385">
        <v>0</v>
      </c>
      <c r="P385">
        <v>331</v>
      </c>
      <c r="Q385">
        <v>1</v>
      </c>
      <c r="R385">
        <v>331</v>
      </c>
      <c r="S385" t="s">
        <v>24</v>
      </c>
      <c r="T385" t="s">
        <v>24</v>
      </c>
      <c r="U385" t="s">
        <v>24</v>
      </c>
      <c r="V385" t="s">
        <v>25</v>
      </c>
      <c r="W385" t="s">
        <v>1236</v>
      </c>
      <c r="X385" t="s">
        <v>26</v>
      </c>
      <c r="Y385" t="s">
        <v>24</v>
      </c>
    </row>
    <row r="386" spans="1:25" x14ac:dyDescent="0.35">
      <c r="A386" s="1" t="s">
        <v>1237</v>
      </c>
      <c r="B386" s="1" t="s">
        <v>1238</v>
      </c>
      <c r="C386" s="1" t="s">
        <v>295</v>
      </c>
      <c r="D386" s="1" t="s">
        <v>296</v>
      </c>
      <c r="E386" s="2" t="s">
        <v>2281</v>
      </c>
      <c r="F386" s="2" t="s">
        <v>1975</v>
      </c>
      <c r="G386" s="6">
        <v>980</v>
      </c>
      <c r="H386" s="8">
        <f t="shared" si="12"/>
        <v>844.82758620689663</v>
      </c>
      <c r="I386" s="2">
        <v>16</v>
      </c>
      <c r="J386" s="2">
        <f t="shared" si="11"/>
        <v>0.72775510204081639</v>
      </c>
      <c r="K386" t="s">
        <v>1239</v>
      </c>
      <c r="L386">
        <v>1</v>
      </c>
      <c r="M386">
        <v>230</v>
      </c>
      <c r="N386">
        <v>230</v>
      </c>
      <c r="O386">
        <v>0</v>
      </c>
      <c r="P386">
        <v>230</v>
      </c>
      <c r="Q386">
        <v>1</v>
      </c>
      <c r="R386">
        <v>230</v>
      </c>
      <c r="S386" t="s">
        <v>24</v>
      </c>
      <c r="T386" t="s">
        <v>24</v>
      </c>
      <c r="U386" t="s">
        <v>24</v>
      </c>
      <c r="V386" t="s">
        <v>25</v>
      </c>
      <c r="W386" t="s">
        <v>1239</v>
      </c>
      <c r="X386" t="s">
        <v>26</v>
      </c>
      <c r="Y386" t="s">
        <v>24</v>
      </c>
    </row>
    <row r="387" spans="1:25" x14ac:dyDescent="0.35">
      <c r="A387" s="1" t="s">
        <v>1240</v>
      </c>
      <c r="B387" s="1" t="s">
        <v>1241</v>
      </c>
      <c r="C387" s="1" t="s">
        <v>295</v>
      </c>
      <c r="D387" s="1" t="s">
        <v>296</v>
      </c>
      <c r="E387" s="2" t="s">
        <v>2282</v>
      </c>
      <c r="F387" s="2" t="s">
        <v>1975</v>
      </c>
      <c r="G387" s="6">
        <v>880</v>
      </c>
      <c r="H387" s="8">
        <f t="shared" si="12"/>
        <v>758.62068965517244</v>
      </c>
      <c r="I387" s="2">
        <v>16</v>
      </c>
      <c r="J387" s="2">
        <f t="shared" ref="J387:J450" si="13">1-M387/H387</f>
        <v>0.69681818181818178</v>
      </c>
      <c r="K387" t="s">
        <v>1242</v>
      </c>
      <c r="L387">
        <v>1</v>
      </c>
      <c r="M387">
        <v>230</v>
      </c>
      <c r="N387">
        <v>230</v>
      </c>
      <c r="O387">
        <v>0</v>
      </c>
      <c r="P387">
        <v>230</v>
      </c>
      <c r="Q387">
        <v>1</v>
      </c>
      <c r="R387">
        <v>230</v>
      </c>
      <c r="S387" t="s">
        <v>24</v>
      </c>
      <c r="T387" t="s">
        <v>24</v>
      </c>
      <c r="U387" t="s">
        <v>24</v>
      </c>
      <c r="V387" t="s">
        <v>25</v>
      </c>
      <c r="W387" t="s">
        <v>1242</v>
      </c>
      <c r="X387" t="s">
        <v>26</v>
      </c>
      <c r="Y387" t="s">
        <v>24</v>
      </c>
    </row>
    <row r="388" spans="1:25" x14ac:dyDescent="0.35">
      <c r="A388" s="1" t="s">
        <v>1243</v>
      </c>
      <c r="B388" s="1" t="s">
        <v>1244</v>
      </c>
      <c r="C388" s="1" t="s">
        <v>315</v>
      </c>
      <c r="D388" s="1" t="s">
        <v>316</v>
      </c>
      <c r="E388" s="2" t="s">
        <v>2283</v>
      </c>
      <c r="F388" s="2" t="s">
        <v>1994</v>
      </c>
      <c r="G388" s="6">
        <v>160</v>
      </c>
      <c r="H388" s="8">
        <f t="shared" ref="H388:H451" si="14">+G388/(1+I388/100)</f>
        <v>137.93103448275863</v>
      </c>
      <c r="I388" s="2">
        <v>16</v>
      </c>
      <c r="J388" s="2">
        <f t="shared" si="13"/>
        <v>0.70274999999999999</v>
      </c>
      <c r="K388" t="s">
        <v>1245</v>
      </c>
      <c r="L388">
        <v>5</v>
      </c>
      <c r="M388">
        <v>41</v>
      </c>
      <c r="N388">
        <v>41</v>
      </c>
      <c r="O388">
        <v>0</v>
      </c>
      <c r="P388">
        <v>205</v>
      </c>
      <c r="Q388">
        <v>5</v>
      </c>
      <c r="R388">
        <v>205</v>
      </c>
      <c r="S388" t="s">
        <v>24</v>
      </c>
      <c r="T388" t="s">
        <v>24</v>
      </c>
      <c r="U388" t="s">
        <v>24</v>
      </c>
      <c r="V388" t="s">
        <v>25</v>
      </c>
      <c r="W388" t="s">
        <v>1245</v>
      </c>
      <c r="X388" t="s">
        <v>26</v>
      </c>
      <c r="Y388" t="s">
        <v>24</v>
      </c>
    </row>
    <row r="389" spans="1:25" x14ac:dyDescent="0.35">
      <c r="A389" s="1" t="s">
        <v>1246</v>
      </c>
      <c r="B389" s="1" t="s">
        <v>1247</v>
      </c>
      <c r="C389" s="1" t="s">
        <v>265</v>
      </c>
      <c r="D389" s="1" t="s">
        <v>266</v>
      </c>
      <c r="E389" s="2" t="s">
        <v>2284</v>
      </c>
      <c r="F389" s="2" t="s">
        <v>1994</v>
      </c>
      <c r="G389" s="6">
        <v>180</v>
      </c>
      <c r="H389" s="8">
        <f t="shared" si="14"/>
        <v>155.17241379310346</v>
      </c>
      <c r="I389" s="2">
        <v>16</v>
      </c>
      <c r="J389" s="2">
        <f t="shared" si="13"/>
        <v>0.71</v>
      </c>
      <c r="K389" t="s">
        <v>1248</v>
      </c>
      <c r="L389">
        <v>3</v>
      </c>
      <c r="M389">
        <v>45</v>
      </c>
      <c r="N389">
        <v>0</v>
      </c>
      <c r="O389">
        <v>0</v>
      </c>
      <c r="P389">
        <v>135</v>
      </c>
      <c r="Q389">
        <v>3</v>
      </c>
      <c r="R389">
        <v>135</v>
      </c>
      <c r="S389" t="s">
        <v>24</v>
      </c>
      <c r="T389" t="s">
        <v>24</v>
      </c>
      <c r="U389" t="s">
        <v>24</v>
      </c>
      <c r="V389" t="s">
        <v>25</v>
      </c>
      <c r="W389" t="s">
        <v>1248</v>
      </c>
      <c r="X389" t="s">
        <v>26</v>
      </c>
      <c r="Y389" t="s">
        <v>24</v>
      </c>
    </row>
    <row r="390" spans="1:25" x14ac:dyDescent="0.35">
      <c r="A390" s="1" t="s">
        <v>1249</v>
      </c>
      <c r="B390" s="1" t="s">
        <v>1250</v>
      </c>
      <c r="C390" s="1" t="s">
        <v>392</v>
      </c>
      <c r="D390" s="1" t="s">
        <v>393</v>
      </c>
      <c r="E390" s="2" t="s">
        <v>2285</v>
      </c>
      <c r="F390" s="2" t="s">
        <v>1975</v>
      </c>
      <c r="G390" s="6">
        <v>1540</v>
      </c>
      <c r="H390" s="8">
        <f t="shared" si="14"/>
        <v>1327.5862068965519</v>
      </c>
      <c r="I390" s="2">
        <v>16</v>
      </c>
      <c r="J390" s="2">
        <f t="shared" si="13"/>
        <v>0.69870129870129871</v>
      </c>
      <c r="K390" t="s">
        <v>1251</v>
      </c>
      <c r="L390">
        <v>1</v>
      </c>
      <c r="M390">
        <v>400</v>
      </c>
      <c r="N390">
        <v>400</v>
      </c>
      <c r="O390">
        <v>0</v>
      </c>
      <c r="P390">
        <v>400</v>
      </c>
      <c r="Q390">
        <v>1</v>
      </c>
      <c r="R390">
        <v>400</v>
      </c>
      <c r="S390" t="s">
        <v>24</v>
      </c>
      <c r="T390" t="s">
        <v>24</v>
      </c>
      <c r="U390" t="s">
        <v>24</v>
      </c>
      <c r="V390" t="s">
        <v>25</v>
      </c>
      <c r="W390" t="s">
        <v>1251</v>
      </c>
      <c r="X390" t="s">
        <v>26</v>
      </c>
      <c r="Y390" t="s">
        <v>24</v>
      </c>
    </row>
    <row r="391" spans="1:25" x14ac:dyDescent="0.35">
      <c r="A391" s="1" t="s">
        <v>1252</v>
      </c>
      <c r="B391" s="1" t="s">
        <v>1253</v>
      </c>
      <c r="C391" s="1" t="s">
        <v>392</v>
      </c>
      <c r="D391" s="1" t="s">
        <v>393</v>
      </c>
      <c r="E391" s="2" t="s">
        <v>2286</v>
      </c>
      <c r="F391" s="2" t="s">
        <v>1975</v>
      </c>
      <c r="G391" s="6">
        <v>940</v>
      </c>
      <c r="H391" s="8">
        <f t="shared" si="14"/>
        <v>810.34482758620697</v>
      </c>
      <c r="I391" s="2">
        <v>16</v>
      </c>
      <c r="J391" s="2">
        <f t="shared" si="13"/>
        <v>0.53723404255319152</v>
      </c>
      <c r="K391" t="s">
        <v>1254</v>
      </c>
      <c r="L391">
        <v>1</v>
      </c>
      <c r="M391">
        <v>375</v>
      </c>
      <c r="N391">
        <v>375</v>
      </c>
      <c r="O391">
        <v>0</v>
      </c>
      <c r="P391">
        <v>375</v>
      </c>
      <c r="Q391">
        <v>1</v>
      </c>
      <c r="R391">
        <v>375</v>
      </c>
      <c r="S391" t="s">
        <v>24</v>
      </c>
      <c r="T391" t="s">
        <v>24</v>
      </c>
      <c r="U391" t="s">
        <v>24</v>
      </c>
      <c r="V391" t="s">
        <v>25</v>
      </c>
      <c r="W391" t="s">
        <v>1254</v>
      </c>
      <c r="X391" t="s">
        <v>26</v>
      </c>
      <c r="Y391" t="s">
        <v>24</v>
      </c>
    </row>
    <row r="392" spans="1:25" x14ac:dyDescent="0.35">
      <c r="A392" s="1" t="s">
        <v>1255</v>
      </c>
      <c r="B392" s="1" t="s">
        <v>1256</v>
      </c>
      <c r="C392" s="1" t="s">
        <v>392</v>
      </c>
      <c r="D392" s="1" t="s">
        <v>393</v>
      </c>
      <c r="E392" s="2" t="s">
        <v>2206</v>
      </c>
      <c r="F392" s="2" t="s">
        <v>1975</v>
      </c>
      <c r="G392" s="6">
        <v>1387.5</v>
      </c>
      <c r="H392" s="8">
        <f t="shared" si="14"/>
        <v>1196.1206896551726</v>
      </c>
      <c r="I392" s="2">
        <v>16</v>
      </c>
      <c r="J392" s="2">
        <f t="shared" si="13"/>
        <v>0.76172972972972974</v>
      </c>
      <c r="K392" t="s">
        <v>1257</v>
      </c>
      <c r="L392">
        <v>1</v>
      </c>
      <c r="M392">
        <v>285</v>
      </c>
      <c r="N392">
        <v>285</v>
      </c>
      <c r="O392">
        <v>0</v>
      </c>
      <c r="P392">
        <v>285</v>
      </c>
      <c r="Q392">
        <v>1</v>
      </c>
      <c r="R392">
        <v>285</v>
      </c>
      <c r="S392" t="s">
        <v>24</v>
      </c>
      <c r="T392" t="s">
        <v>24</v>
      </c>
      <c r="U392" t="s">
        <v>24</v>
      </c>
      <c r="V392" t="s">
        <v>25</v>
      </c>
      <c r="W392" t="s">
        <v>1257</v>
      </c>
      <c r="X392" t="s">
        <v>26</v>
      </c>
      <c r="Y392" t="s">
        <v>24</v>
      </c>
    </row>
    <row r="393" spans="1:25" x14ac:dyDescent="0.35">
      <c r="A393" s="1" t="s">
        <v>1258</v>
      </c>
      <c r="B393" s="1" t="s">
        <v>1259</v>
      </c>
      <c r="C393" s="1" t="s">
        <v>392</v>
      </c>
      <c r="D393" s="1" t="s">
        <v>393</v>
      </c>
      <c r="E393" s="2" t="s">
        <v>2206</v>
      </c>
      <c r="F393" s="2" t="s">
        <v>1975</v>
      </c>
      <c r="G393" s="6">
        <v>1091.5</v>
      </c>
      <c r="H393" s="8">
        <f t="shared" si="14"/>
        <v>940.94827586206907</v>
      </c>
      <c r="I393" s="2">
        <v>16</v>
      </c>
      <c r="J393" s="2">
        <f t="shared" si="13"/>
        <v>0.6971140632157582</v>
      </c>
      <c r="K393" t="s">
        <v>1260</v>
      </c>
      <c r="L393">
        <v>1</v>
      </c>
      <c r="M393">
        <v>285</v>
      </c>
      <c r="N393">
        <v>285</v>
      </c>
      <c r="O393">
        <v>0</v>
      </c>
      <c r="P393">
        <v>285</v>
      </c>
      <c r="Q393">
        <v>1</v>
      </c>
      <c r="R393">
        <v>285</v>
      </c>
      <c r="S393" t="s">
        <v>24</v>
      </c>
      <c r="T393" t="s">
        <v>24</v>
      </c>
      <c r="U393" t="s">
        <v>24</v>
      </c>
      <c r="V393" t="s">
        <v>25</v>
      </c>
      <c r="W393" t="s">
        <v>1260</v>
      </c>
      <c r="X393" t="s">
        <v>26</v>
      </c>
      <c r="Y393" t="s">
        <v>24</v>
      </c>
    </row>
    <row r="394" spans="1:25" x14ac:dyDescent="0.35">
      <c r="A394" s="1" t="s">
        <v>1261</v>
      </c>
      <c r="B394" s="1" t="s">
        <v>1262</v>
      </c>
      <c r="C394" s="1" t="s">
        <v>392</v>
      </c>
      <c r="D394" s="1" t="s">
        <v>393</v>
      </c>
      <c r="E394" s="2" t="s">
        <v>2287</v>
      </c>
      <c r="F394" s="2" t="s">
        <v>1975</v>
      </c>
      <c r="G394" s="6">
        <v>380</v>
      </c>
      <c r="H394" s="8">
        <f t="shared" si="14"/>
        <v>327.58620689655174</v>
      </c>
      <c r="I394" s="2">
        <v>16</v>
      </c>
      <c r="J394" s="2">
        <f t="shared" si="13"/>
        <v>-7.3684210526314686E-3</v>
      </c>
      <c r="K394" t="s">
        <v>1263</v>
      </c>
      <c r="L394">
        <v>1</v>
      </c>
      <c r="M394">
        <v>330</v>
      </c>
      <c r="N394">
        <v>330</v>
      </c>
      <c r="O394">
        <v>0</v>
      </c>
      <c r="P394">
        <v>330</v>
      </c>
      <c r="Q394">
        <v>1</v>
      </c>
      <c r="R394">
        <v>330</v>
      </c>
      <c r="S394" t="s">
        <v>24</v>
      </c>
      <c r="T394" t="s">
        <v>24</v>
      </c>
      <c r="U394" t="s">
        <v>24</v>
      </c>
      <c r="V394" t="s">
        <v>25</v>
      </c>
      <c r="W394" t="s">
        <v>1263</v>
      </c>
      <c r="X394" t="s">
        <v>26</v>
      </c>
      <c r="Y394" t="s">
        <v>24</v>
      </c>
    </row>
    <row r="395" spans="1:25" x14ac:dyDescent="0.35">
      <c r="A395" s="1" t="s">
        <v>1264</v>
      </c>
      <c r="B395" s="1" t="s">
        <v>1265</v>
      </c>
      <c r="C395" s="1" t="s">
        <v>249</v>
      </c>
      <c r="D395" s="1" t="s">
        <v>250</v>
      </c>
      <c r="E395" s="2" t="s">
        <v>2288</v>
      </c>
      <c r="F395" s="2" t="s">
        <v>1975</v>
      </c>
      <c r="G395" s="6">
        <v>940</v>
      </c>
      <c r="H395" s="8">
        <f t="shared" si="14"/>
        <v>810.34482758620697</v>
      </c>
      <c r="I395" s="2">
        <v>16</v>
      </c>
      <c r="J395" s="2">
        <f t="shared" si="13"/>
        <v>0.21021276595744687</v>
      </c>
      <c r="K395" t="s">
        <v>1266</v>
      </c>
      <c r="L395">
        <v>1</v>
      </c>
      <c r="M395">
        <v>640</v>
      </c>
      <c r="N395">
        <v>640</v>
      </c>
      <c r="O395">
        <v>0</v>
      </c>
      <c r="P395">
        <v>640</v>
      </c>
      <c r="Q395">
        <v>1</v>
      </c>
      <c r="R395">
        <v>640</v>
      </c>
      <c r="S395" t="s">
        <v>24</v>
      </c>
      <c r="T395" t="s">
        <v>24</v>
      </c>
      <c r="U395" t="s">
        <v>24</v>
      </c>
      <c r="V395" t="s">
        <v>25</v>
      </c>
      <c r="W395" t="s">
        <v>1266</v>
      </c>
      <c r="X395" t="s">
        <v>26</v>
      </c>
      <c r="Y395" t="s">
        <v>24</v>
      </c>
    </row>
    <row r="396" spans="1:25" x14ac:dyDescent="0.35">
      <c r="A396" s="1" t="s">
        <v>1267</v>
      </c>
      <c r="B396" s="1" t="s">
        <v>1268</v>
      </c>
      <c r="C396" s="1" t="s">
        <v>34</v>
      </c>
      <c r="D396" s="1" t="s">
        <v>35</v>
      </c>
      <c r="E396" s="2" t="s">
        <v>2289</v>
      </c>
      <c r="F396" s="2" t="s">
        <v>1975</v>
      </c>
      <c r="G396" s="6">
        <v>1780</v>
      </c>
      <c r="H396" s="8">
        <f t="shared" si="14"/>
        <v>1534.4827586206898</v>
      </c>
      <c r="I396" s="2">
        <v>16</v>
      </c>
      <c r="J396" s="2">
        <f t="shared" si="13"/>
        <v>0.7399775280898877</v>
      </c>
      <c r="K396" t="s">
        <v>1269</v>
      </c>
      <c r="L396">
        <v>2</v>
      </c>
      <c r="M396">
        <v>399</v>
      </c>
      <c r="N396">
        <v>399</v>
      </c>
      <c r="O396">
        <v>0</v>
      </c>
      <c r="P396">
        <v>798</v>
      </c>
      <c r="Q396">
        <v>2</v>
      </c>
      <c r="R396">
        <v>798</v>
      </c>
      <c r="S396" t="s">
        <v>24</v>
      </c>
      <c r="T396" t="s">
        <v>24</v>
      </c>
      <c r="U396" t="s">
        <v>24</v>
      </c>
      <c r="V396" t="s">
        <v>25</v>
      </c>
      <c r="W396" t="s">
        <v>1269</v>
      </c>
      <c r="X396" t="s">
        <v>26</v>
      </c>
      <c r="Y396" t="s">
        <v>24</v>
      </c>
    </row>
    <row r="397" spans="1:25" x14ac:dyDescent="0.35">
      <c r="A397" s="1" t="s">
        <v>1270</v>
      </c>
      <c r="B397" s="1" t="s">
        <v>1271</v>
      </c>
      <c r="C397" s="1" t="s">
        <v>292</v>
      </c>
      <c r="D397" s="1" t="s">
        <v>293</v>
      </c>
      <c r="E397" s="2" t="s">
        <v>2290</v>
      </c>
      <c r="F397" s="2" t="s">
        <v>1975</v>
      </c>
      <c r="G397" s="6">
        <v>1700</v>
      </c>
      <c r="H397" s="8">
        <f t="shared" si="14"/>
        <v>1465.5172413793105</v>
      </c>
      <c r="I397" s="2">
        <v>16</v>
      </c>
      <c r="J397" s="2">
        <f t="shared" si="13"/>
        <v>0.73388235294117643</v>
      </c>
      <c r="K397" t="s">
        <v>1272</v>
      </c>
      <c r="L397">
        <v>1</v>
      </c>
      <c r="M397">
        <v>390</v>
      </c>
      <c r="N397">
        <v>390</v>
      </c>
      <c r="O397">
        <v>0</v>
      </c>
      <c r="P397">
        <v>390</v>
      </c>
      <c r="Q397">
        <v>1</v>
      </c>
      <c r="R397">
        <v>390</v>
      </c>
      <c r="S397" t="s">
        <v>24</v>
      </c>
      <c r="T397" t="s">
        <v>24</v>
      </c>
      <c r="U397" t="s">
        <v>24</v>
      </c>
      <c r="V397" t="s">
        <v>25</v>
      </c>
      <c r="W397" t="s">
        <v>1272</v>
      </c>
      <c r="X397" t="s">
        <v>26</v>
      </c>
      <c r="Y397" t="s">
        <v>24</v>
      </c>
    </row>
    <row r="398" spans="1:25" x14ac:dyDescent="0.35">
      <c r="A398" s="1" t="s">
        <v>1191</v>
      </c>
      <c r="B398" s="1" t="s">
        <v>1192</v>
      </c>
      <c r="C398" s="1" t="s">
        <v>1273</v>
      </c>
      <c r="D398" s="1" t="s">
        <v>1274</v>
      </c>
      <c r="E398" s="2" t="s">
        <v>2266</v>
      </c>
      <c r="F398" s="2" t="s">
        <v>1911</v>
      </c>
      <c r="G398" s="6">
        <v>6240</v>
      </c>
      <c r="H398" s="8">
        <f t="shared" si="14"/>
        <v>5379.310344827587</v>
      </c>
      <c r="I398" s="2">
        <v>16</v>
      </c>
      <c r="J398" s="2">
        <f t="shared" si="13"/>
        <v>0.70034820512820517</v>
      </c>
      <c r="K398" t="s">
        <v>1275</v>
      </c>
      <c r="L398">
        <v>1</v>
      </c>
      <c r="M398">
        <v>1611.92</v>
      </c>
      <c r="N398">
        <v>1611.92</v>
      </c>
      <c r="O398">
        <v>0</v>
      </c>
      <c r="P398">
        <v>1611.92</v>
      </c>
      <c r="Q398">
        <v>1</v>
      </c>
      <c r="R398">
        <v>1611.92</v>
      </c>
      <c r="S398" t="s">
        <v>24</v>
      </c>
      <c r="T398" t="s">
        <v>24</v>
      </c>
      <c r="U398" t="s">
        <v>24</v>
      </c>
      <c r="V398" t="s">
        <v>25</v>
      </c>
      <c r="W398" t="s">
        <v>1275</v>
      </c>
      <c r="X398" t="s">
        <v>26</v>
      </c>
      <c r="Y398" t="s">
        <v>24</v>
      </c>
    </row>
    <row r="399" spans="1:25" x14ac:dyDescent="0.35">
      <c r="A399" s="1" t="s">
        <v>1276</v>
      </c>
      <c r="B399" s="1" t="s">
        <v>1277</v>
      </c>
      <c r="C399" s="1" t="s">
        <v>392</v>
      </c>
      <c r="D399" s="1" t="s">
        <v>393</v>
      </c>
      <c r="E399" s="2" t="s">
        <v>2291</v>
      </c>
      <c r="F399" s="2" t="s">
        <v>1911</v>
      </c>
      <c r="G399" s="6">
        <v>8120</v>
      </c>
      <c r="H399" s="8">
        <f t="shared" si="14"/>
        <v>7000.0000000000009</v>
      </c>
      <c r="I399" s="2">
        <v>16</v>
      </c>
      <c r="J399" s="2">
        <f t="shared" si="13"/>
        <v>0.69968142857142857</v>
      </c>
      <c r="K399" t="s">
        <v>1278</v>
      </c>
      <c r="L399">
        <v>1</v>
      </c>
      <c r="M399">
        <v>2102.23</v>
      </c>
      <c r="N399">
        <v>2102.23</v>
      </c>
      <c r="O399">
        <v>0</v>
      </c>
      <c r="P399">
        <v>2102.23</v>
      </c>
      <c r="Q399">
        <v>1</v>
      </c>
      <c r="R399">
        <v>2102.23</v>
      </c>
      <c r="S399" t="s">
        <v>24</v>
      </c>
      <c r="T399" t="s">
        <v>24</v>
      </c>
      <c r="U399" t="s">
        <v>24</v>
      </c>
      <c r="V399" t="s">
        <v>25</v>
      </c>
      <c r="W399" t="s">
        <v>1278</v>
      </c>
      <c r="X399" t="s">
        <v>26</v>
      </c>
      <c r="Y399" t="s">
        <v>24</v>
      </c>
    </row>
    <row r="400" spans="1:25" x14ac:dyDescent="0.35">
      <c r="A400" s="1" t="s">
        <v>1279</v>
      </c>
      <c r="B400" s="1" t="s">
        <v>1280</v>
      </c>
      <c r="C400" s="1" t="s">
        <v>295</v>
      </c>
      <c r="D400" s="1" t="s">
        <v>296</v>
      </c>
      <c r="E400" s="2" t="s">
        <v>2292</v>
      </c>
      <c r="F400" s="2" t="s">
        <v>1913</v>
      </c>
      <c r="G400" s="6">
        <v>500</v>
      </c>
      <c r="H400" s="8">
        <f t="shared" si="14"/>
        <v>431.0344827586207</v>
      </c>
      <c r="I400" s="2">
        <v>16</v>
      </c>
      <c r="J400" s="2">
        <f t="shared" si="13"/>
        <v>0.83852800000000005</v>
      </c>
      <c r="K400" t="s">
        <v>1281</v>
      </c>
      <c r="L400">
        <v>6</v>
      </c>
      <c r="M400">
        <v>69.599999999999994</v>
      </c>
      <c r="N400">
        <v>69.599999999999994</v>
      </c>
      <c r="O400">
        <v>0</v>
      </c>
      <c r="P400">
        <v>417.6</v>
      </c>
      <c r="Q400">
        <v>6</v>
      </c>
      <c r="R400">
        <v>417.6</v>
      </c>
      <c r="S400" t="s">
        <v>24</v>
      </c>
      <c r="T400" t="s">
        <v>24</v>
      </c>
      <c r="U400" t="s">
        <v>24</v>
      </c>
      <c r="V400" t="s">
        <v>25</v>
      </c>
      <c r="W400" t="s">
        <v>1281</v>
      </c>
      <c r="X400" t="s">
        <v>26</v>
      </c>
      <c r="Y400" t="s">
        <v>24</v>
      </c>
    </row>
    <row r="401" spans="1:25" x14ac:dyDescent="0.35">
      <c r="A401" s="1" t="s">
        <v>1282</v>
      </c>
      <c r="B401" s="1" t="s">
        <v>1283</v>
      </c>
      <c r="C401" s="1" t="s">
        <v>295</v>
      </c>
      <c r="D401" s="1" t="s">
        <v>296</v>
      </c>
      <c r="E401" s="2" t="s">
        <v>2293</v>
      </c>
      <c r="F401" s="2" t="s">
        <v>1913</v>
      </c>
      <c r="G401" s="6">
        <v>440</v>
      </c>
      <c r="H401" s="8">
        <f t="shared" si="14"/>
        <v>379.31034482758622</v>
      </c>
      <c r="I401" s="2">
        <v>16</v>
      </c>
      <c r="J401" s="2">
        <f t="shared" si="13"/>
        <v>0.81650909090909096</v>
      </c>
      <c r="K401" t="s">
        <v>1284</v>
      </c>
      <c r="L401">
        <v>3</v>
      </c>
      <c r="M401">
        <v>69.599999999999994</v>
      </c>
      <c r="N401">
        <v>69.599999999999994</v>
      </c>
      <c r="O401">
        <v>0</v>
      </c>
      <c r="P401">
        <v>208.8</v>
      </c>
      <c r="Q401">
        <v>3</v>
      </c>
      <c r="R401">
        <v>208.8</v>
      </c>
      <c r="S401" t="s">
        <v>24</v>
      </c>
      <c r="T401" t="s">
        <v>24</v>
      </c>
      <c r="U401" t="s">
        <v>24</v>
      </c>
      <c r="V401" t="s">
        <v>25</v>
      </c>
      <c r="W401" t="s">
        <v>1284</v>
      </c>
      <c r="X401" t="s">
        <v>26</v>
      </c>
      <c r="Y401" t="s">
        <v>24</v>
      </c>
    </row>
    <row r="402" spans="1:25" x14ac:dyDescent="0.35">
      <c r="A402" s="1" t="s">
        <v>1285</v>
      </c>
      <c r="B402" s="1" t="s">
        <v>1286</v>
      </c>
      <c r="C402" s="1" t="s">
        <v>34</v>
      </c>
      <c r="D402" s="1" t="s">
        <v>35</v>
      </c>
      <c r="E402" s="2" t="s">
        <v>2294</v>
      </c>
      <c r="F402" s="2" t="s">
        <v>1913</v>
      </c>
      <c r="G402" s="6">
        <v>240</v>
      </c>
      <c r="H402" s="8">
        <f t="shared" si="14"/>
        <v>206.89655172413794</v>
      </c>
      <c r="I402" s="2">
        <v>16</v>
      </c>
      <c r="J402" s="2">
        <f t="shared" si="13"/>
        <v>0.80812488333333332</v>
      </c>
      <c r="K402" t="s">
        <v>1287</v>
      </c>
      <c r="L402">
        <v>6</v>
      </c>
      <c r="M402">
        <v>39.698300000000003</v>
      </c>
      <c r="N402">
        <v>39.698300000000003</v>
      </c>
      <c r="O402">
        <v>0</v>
      </c>
      <c r="P402">
        <v>238.18979999999999</v>
      </c>
      <c r="Q402">
        <v>6</v>
      </c>
      <c r="R402">
        <v>238.19</v>
      </c>
      <c r="S402" t="s">
        <v>24</v>
      </c>
      <c r="T402" t="s">
        <v>24</v>
      </c>
      <c r="U402" t="s">
        <v>24</v>
      </c>
      <c r="V402" t="s">
        <v>25</v>
      </c>
      <c r="W402" t="s">
        <v>1287</v>
      </c>
      <c r="X402" t="s">
        <v>26</v>
      </c>
      <c r="Y402" t="s">
        <v>24</v>
      </c>
    </row>
    <row r="403" spans="1:25" x14ac:dyDescent="0.35">
      <c r="A403" s="1" t="s">
        <v>1288</v>
      </c>
      <c r="B403" s="1" t="s">
        <v>1289</v>
      </c>
      <c r="C403" s="1" t="s">
        <v>467</v>
      </c>
      <c r="D403" s="1" t="s">
        <v>468</v>
      </c>
      <c r="E403" s="2" t="s">
        <v>2295</v>
      </c>
      <c r="F403" s="2" t="s">
        <v>1911</v>
      </c>
      <c r="G403" s="6">
        <v>4220</v>
      </c>
      <c r="H403" s="8">
        <f t="shared" si="14"/>
        <v>3637.9310344827591</v>
      </c>
      <c r="I403" s="2">
        <v>16</v>
      </c>
      <c r="J403" s="2">
        <f t="shared" si="13"/>
        <v>0.70035440758293843</v>
      </c>
      <c r="K403" t="s">
        <v>1290</v>
      </c>
      <c r="L403">
        <v>1</v>
      </c>
      <c r="M403">
        <v>1090.0899999999999</v>
      </c>
      <c r="N403">
        <v>1090.0899999999999</v>
      </c>
      <c r="O403">
        <v>0</v>
      </c>
      <c r="P403">
        <v>1090.0899999999999</v>
      </c>
      <c r="Q403">
        <v>1</v>
      </c>
      <c r="R403">
        <v>1090.0899999999999</v>
      </c>
      <c r="S403" t="s">
        <v>24</v>
      </c>
      <c r="T403" t="s">
        <v>24</v>
      </c>
      <c r="U403" t="s">
        <v>24</v>
      </c>
      <c r="V403" t="s">
        <v>25</v>
      </c>
      <c r="W403" t="s">
        <v>1290</v>
      </c>
      <c r="X403" t="s">
        <v>26</v>
      </c>
      <c r="Y403" t="s">
        <v>24</v>
      </c>
    </row>
    <row r="404" spans="1:25" x14ac:dyDescent="0.35">
      <c r="A404" s="1" t="s">
        <v>1291</v>
      </c>
      <c r="B404" s="1" t="s">
        <v>1292</v>
      </c>
      <c r="C404" s="1" t="s">
        <v>467</v>
      </c>
      <c r="D404" s="1" t="s">
        <v>468</v>
      </c>
      <c r="E404" s="2" t="s">
        <v>2296</v>
      </c>
      <c r="F404" s="2" t="s">
        <v>1975</v>
      </c>
      <c r="G404" s="6">
        <v>4980</v>
      </c>
      <c r="H404" s="8">
        <f t="shared" si="14"/>
        <v>4293.1034482758623</v>
      </c>
      <c r="I404" s="2">
        <v>16</v>
      </c>
      <c r="J404" s="2">
        <f t="shared" si="13"/>
        <v>0.69979759036144573</v>
      </c>
      <c r="K404" t="s">
        <v>1293</v>
      </c>
      <c r="L404">
        <v>1</v>
      </c>
      <c r="M404">
        <v>1288.8</v>
      </c>
      <c r="N404">
        <v>1288.8</v>
      </c>
      <c r="O404">
        <v>0</v>
      </c>
      <c r="P404">
        <v>1288.8</v>
      </c>
      <c r="Q404">
        <v>1</v>
      </c>
      <c r="R404">
        <v>1288.8</v>
      </c>
      <c r="S404" t="s">
        <v>24</v>
      </c>
      <c r="T404" t="s">
        <v>24</v>
      </c>
      <c r="U404" t="s">
        <v>24</v>
      </c>
      <c r="V404" t="s">
        <v>25</v>
      </c>
      <c r="W404" t="s">
        <v>1293</v>
      </c>
      <c r="X404" t="s">
        <v>26</v>
      </c>
      <c r="Y404" t="s">
        <v>24</v>
      </c>
    </row>
    <row r="405" spans="1:25" x14ac:dyDescent="0.35">
      <c r="A405" s="1" t="s">
        <v>1294</v>
      </c>
      <c r="B405" s="1" t="s">
        <v>1295</v>
      </c>
      <c r="C405" s="1" t="s">
        <v>1296</v>
      </c>
      <c r="D405" s="1" t="s">
        <v>1297</v>
      </c>
      <c r="E405" s="2" t="s">
        <v>2297</v>
      </c>
      <c r="F405" s="2" t="s">
        <v>1911</v>
      </c>
      <c r="G405" s="6">
        <v>60</v>
      </c>
      <c r="H405" s="8">
        <f t="shared" si="14"/>
        <v>51.724137931034484</v>
      </c>
      <c r="I405" s="2">
        <v>16</v>
      </c>
      <c r="J405" s="2">
        <f t="shared" si="13"/>
        <v>0.71</v>
      </c>
      <c r="K405" t="s">
        <v>1298</v>
      </c>
      <c r="L405">
        <v>2</v>
      </c>
      <c r="M405">
        <v>15</v>
      </c>
      <c r="N405">
        <v>15</v>
      </c>
      <c r="O405">
        <v>0</v>
      </c>
      <c r="P405">
        <v>30</v>
      </c>
      <c r="Q405">
        <v>2</v>
      </c>
      <c r="R405">
        <v>30</v>
      </c>
      <c r="S405" t="s">
        <v>24</v>
      </c>
      <c r="T405" t="s">
        <v>24</v>
      </c>
      <c r="U405" t="s">
        <v>24</v>
      </c>
      <c r="V405" t="s">
        <v>25</v>
      </c>
      <c r="W405" t="s">
        <v>1298</v>
      </c>
      <c r="X405" t="s">
        <v>26</v>
      </c>
      <c r="Y405" t="s">
        <v>24</v>
      </c>
    </row>
    <row r="406" spans="1:25" x14ac:dyDescent="0.35">
      <c r="A406" s="1" t="s">
        <v>1299</v>
      </c>
      <c r="B406" s="1" t="s">
        <v>1300</v>
      </c>
      <c r="C406" s="1" t="s">
        <v>254</v>
      </c>
      <c r="D406" s="1" t="s">
        <v>255</v>
      </c>
      <c r="E406" s="2" t="s">
        <v>2298</v>
      </c>
      <c r="F406" s="2" t="s">
        <v>1911</v>
      </c>
      <c r="G406" s="6">
        <v>60</v>
      </c>
      <c r="H406" s="8">
        <f t="shared" si="14"/>
        <v>51.724137931034484</v>
      </c>
      <c r="I406" s="2">
        <v>16</v>
      </c>
      <c r="J406" s="2">
        <f t="shared" si="13"/>
        <v>0.71</v>
      </c>
      <c r="K406" t="s">
        <v>1301</v>
      </c>
      <c r="L406">
        <v>2</v>
      </c>
      <c r="M406">
        <v>15</v>
      </c>
      <c r="N406">
        <v>15</v>
      </c>
      <c r="O406">
        <v>0</v>
      </c>
      <c r="P406">
        <v>15</v>
      </c>
      <c r="Q406">
        <v>1</v>
      </c>
      <c r="R406">
        <v>15</v>
      </c>
      <c r="S406" t="s">
        <v>24</v>
      </c>
      <c r="T406" t="s">
        <v>24</v>
      </c>
      <c r="U406" t="s">
        <v>24</v>
      </c>
      <c r="V406" t="s">
        <v>25</v>
      </c>
      <c r="W406" t="s">
        <v>1301</v>
      </c>
      <c r="X406" t="s">
        <v>26</v>
      </c>
      <c r="Y406" t="s">
        <v>24</v>
      </c>
    </row>
    <row r="407" spans="1:25" x14ac:dyDescent="0.35">
      <c r="A407" s="1" t="s">
        <v>1302</v>
      </c>
      <c r="B407" s="1" t="s">
        <v>1303</v>
      </c>
      <c r="C407" s="1" t="s">
        <v>295</v>
      </c>
      <c r="D407" s="1" t="s">
        <v>296</v>
      </c>
      <c r="E407" s="2" t="s">
        <v>2299</v>
      </c>
      <c r="F407" s="2" t="s">
        <v>1975</v>
      </c>
      <c r="G407" s="6">
        <v>300</v>
      </c>
      <c r="H407" s="8">
        <f t="shared" si="14"/>
        <v>258.62068965517244</v>
      </c>
      <c r="I407" s="2">
        <v>16</v>
      </c>
      <c r="J407" s="2">
        <f t="shared" si="13"/>
        <v>0.70613333333333339</v>
      </c>
      <c r="K407" t="s">
        <v>1304</v>
      </c>
      <c r="L407">
        <v>36</v>
      </c>
      <c r="M407">
        <v>76</v>
      </c>
      <c r="N407">
        <v>76</v>
      </c>
      <c r="O407">
        <v>0</v>
      </c>
      <c r="P407">
        <v>2736</v>
      </c>
      <c r="Q407">
        <v>36</v>
      </c>
      <c r="R407">
        <v>2736</v>
      </c>
      <c r="S407" t="s">
        <v>24</v>
      </c>
      <c r="T407" t="s">
        <v>24</v>
      </c>
      <c r="U407" t="s">
        <v>24</v>
      </c>
      <c r="V407" t="s">
        <v>25</v>
      </c>
      <c r="W407" t="s">
        <v>1304</v>
      </c>
      <c r="X407" t="s">
        <v>26</v>
      </c>
      <c r="Y407" t="s">
        <v>24</v>
      </c>
    </row>
    <row r="408" spans="1:25" x14ac:dyDescent="0.35">
      <c r="A408" s="1" t="s">
        <v>1302</v>
      </c>
      <c r="B408" s="1" t="s">
        <v>1303</v>
      </c>
      <c r="C408" s="1" t="s">
        <v>34</v>
      </c>
      <c r="D408" s="1" t="s">
        <v>35</v>
      </c>
      <c r="E408" s="2" t="s">
        <v>2299</v>
      </c>
      <c r="F408" s="2" t="s">
        <v>1975</v>
      </c>
      <c r="G408" s="6">
        <v>300</v>
      </c>
      <c r="H408" s="8">
        <f t="shared" si="14"/>
        <v>258.62068965517244</v>
      </c>
      <c r="I408" s="2">
        <v>16</v>
      </c>
      <c r="J408" s="2">
        <f t="shared" si="13"/>
        <v>0.70613333333333339</v>
      </c>
      <c r="K408" t="s">
        <v>1305</v>
      </c>
      <c r="L408">
        <v>7</v>
      </c>
      <c r="M408">
        <v>76</v>
      </c>
      <c r="N408">
        <v>76</v>
      </c>
      <c r="O408">
        <v>0</v>
      </c>
      <c r="P408">
        <v>532</v>
      </c>
      <c r="Q408">
        <v>7</v>
      </c>
      <c r="R408">
        <v>532</v>
      </c>
      <c r="S408" t="s">
        <v>24</v>
      </c>
      <c r="T408" t="s">
        <v>24</v>
      </c>
      <c r="U408" t="s">
        <v>24</v>
      </c>
      <c r="V408" t="s">
        <v>25</v>
      </c>
      <c r="W408" t="s">
        <v>1305</v>
      </c>
      <c r="X408" t="s">
        <v>26</v>
      </c>
      <c r="Y408" t="s">
        <v>24</v>
      </c>
    </row>
    <row r="409" spans="1:25" x14ac:dyDescent="0.35">
      <c r="A409" s="1" t="s">
        <v>1306</v>
      </c>
      <c r="B409" s="1" t="s">
        <v>1307</v>
      </c>
      <c r="C409" s="1" t="s">
        <v>295</v>
      </c>
      <c r="D409" s="1" t="s">
        <v>296</v>
      </c>
      <c r="E409" s="2" t="s">
        <v>2300</v>
      </c>
      <c r="F409" s="2" t="s">
        <v>1913</v>
      </c>
      <c r="G409" s="6">
        <v>440</v>
      </c>
      <c r="H409" s="8">
        <f t="shared" si="14"/>
        <v>379.31034482758622</v>
      </c>
      <c r="I409" s="2">
        <v>16</v>
      </c>
      <c r="J409" s="2">
        <f t="shared" si="13"/>
        <v>0.81650909090909096</v>
      </c>
      <c r="K409" t="s">
        <v>1308</v>
      </c>
      <c r="L409">
        <v>2</v>
      </c>
      <c r="M409">
        <v>69.599999999999994</v>
      </c>
      <c r="N409">
        <v>69.599999999999994</v>
      </c>
      <c r="O409">
        <v>0</v>
      </c>
      <c r="P409">
        <v>139.19999999999999</v>
      </c>
      <c r="Q409">
        <v>2</v>
      </c>
      <c r="R409">
        <v>139.19999999999999</v>
      </c>
      <c r="S409" t="s">
        <v>24</v>
      </c>
      <c r="T409" t="s">
        <v>24</v>
      </c>
      <c r="U409" t="s">
        <v>24</v>
      </c>
      <c r="V409" t="s">
        <v>25</v>
      </c>
      <c r="W409" t="s">
        <v>1308</v>
      </c>
      <c r="X409" t="s">
        <v>26</v>
      </c>
      <c r="Y409" t="s">
        <v>24</v>
      </c>
    </row>
    <row r="410" spans="1:25" x14ac:dyDescent="0.35">
      <c r="A410" s="1" t="s">
        <v>1309</v>
      </c>
      <c r="B410" s="1" t="s">
        <v>1310</v>
      </c>
      <c r="C410" s="1" t="s">
        <v>295</v>
      </c>
      <c r="D410" s="1" t="s">
        <v>296</v>
      </c>
      <c r="E410" s="2" t="s">
        <v>2301</v>
      </c>
      <c r="F410" s="2" t="s">
        <v>1913</v>
      </c>
      <c r="G410" s="6">
        <v>500</v>
      </c>
      <c r="H410" s="8">
        <f t="shared" si="14"/>
        <v>431.0344827586207</v>
      </c>
      <c r="I410" s="2">
        <v>16</v>
      </c>
      <c r="J410" s="2">
        <f t="shared" si="13"/>
        <v>0.83852800000000005</v>
      </c>
      <c r="K410" t="s">
        <v>1311</v>
      </c>
      <c r="L410">
        <v>3</v>
      </c>
      <c r="M410">
        <v>69.599999999999994</v>
      </c>
      <c r="N410">
        <v>69.599999999999994</v>
      </c>
      <c r="O410">
        <v>0</v>
      </c>
      <c r="P410">
        <v>208.8</v>
      </c>
      <c r="Q410">
        <v>3</v>
      </c>
      <c r="R410">
        <v>208.8</v>
      </c>
      <c r="S410" t="s">
        <v>24</v>
      </c>
      <c r="T410" t="s">
        <v>24</v>
      </c>
      <c r="U410" t="s">
        <v>24</v>
      </c>
      <c r="V410" t="s">
        <v>25</v>
      </c>
      <c r="W410" t="s">
        <v>1311</v>
      </c>
      <c r="X410" t="s">
        <v>26</v>
      </c>
      <c r="Y410" t="s">
        <v>24</v>
      </c>
    </row>
    <row r="411" spans="1:25" x14ac:dyDescent="0.35">
      <c r="A411" s="1" t="s">
        <v>1312</v>
      </c>
      <c r="B411" s="1" t="s">
        <v>1313</v>
      </c>
      <c r="C411" s="1" t="s">
        <v>29</v>
      </c>
      <c r="D411" s="1" t="s">
        <v>30</v>
      </c>
      <c r="E411" s="2" t="s">
        <v>2302</v>
      </c>
      <c r="F411" s="2" t="s">
        <v>1913</v>
      </c>
      <c r="G411" s="6">
        <v>500</v>
      </c>
      <c r="H411" s="8">
        <f t="shared" si="14"/>
        <v>431.0344827586207</v>
      </c>
      <c r="I411" s="2">
        <v>16</v>
      </c>
      <c r="J411" s="2">
        <f t="shared" si="13"/>
        <v>0.86083990399999999</v>
      </c>
      <c r="K411" t="s">
        <v>1314</v>
      </c>
      <c r="L411">
        <v>1</v>
      </c>
      <c r="M411">
        <v>59.982799999999997</v>
      </c>
      <c r="N411">
        <v>59.982799999999997</v>
      </c>
      <c r="O411">
        <v>0</v>
      </c>
      <c r="P411">
        <v>59.982799999999997</v>
      </c>
      <c r="Q411">
        <v>1</v>
      </c>
      <c r="R411">
        <v>59.98</v>
      </c>
      <c r="S411" t="s">
        <v>24</v>
      </c>
      <c r="T411" t="s">
        <v>24</v>
      </c>
      <c r="U411" t="s">
        <v>24</v>
      </c>
      <c r="V411" t="s">
        <v>25</v>
      </c>
      <c r="W411" t="s">
        <v>1314</v>
      </c>
      <c r="X411" t="s">
        <v>26</v>
      </c>
      <c r="Y411" t="s">
        <v>24</v>
      </c>
    </row>
    <row r="412" spans="1:25" x14ac:dyDescent="0.35">
      <c r="A412" s="1" t="s">
        <v>1315</v>
      </c>
      <c r="B412" s="1" t="s">
        <v>1316</v>
      </c>
      <c r="C412" s="1" t="s">
        <v>34</v>
      </c>
      <c r="D412" s="1" t="s">
        <v>35</v>
      </c>
      <c r="E412" s="2" t="s">
        <v>2303</v>
      </c>
      <c r="F412" s="2" t="s">
        <v>1913</v>
      </c>
      <c r="G412" s="6">
        <v>240</v>
      </c>
      <c r="H412" s="8">
        <f t="shared" si="14"/>
        <v>206.89655172413794</v>
      </c>
      <c r="I412" s="2">
        <v>16</v>
      </c>
      <c r="J412" s="2">
        <f t="shared" si="13"/>
        <v>0.80611131666666669</v>
      </c>
      <c r="K412" t="s">
        <v>1317</v>
      </c>
      <c r="L412">
        <v>4</v>
      </c>
      <c r="M412">
        <v>40.114899999999999</v>
      </c>
      <c r="N412">
        <v>40.114899999999999</v>
      </c>
      <c r="O412">
        <v>0</v>
      </c>
      <c r="P412">
        <v>160.45959999999999</v>
      </c>
      <c r="Q412">
        <v>4</v>
      </c>
      <c r="R412">
        <v>160.46</v>
      </c>
      <c r="S412" t="s">
        <v>24</v>
      </c>
      <c r="T412" t="s">
        <v>24</v>
      </c>
      <c r="U412" t="s">
        <v>24</v>
      </c>
      <c r="V412" t="s">
        <v>25</v>
      </c>
      <c r="W412" t="s">
        <v>1317</v>
      </c>
      <c r="X412" t="s">
        <v>26</v>
      </c>
      <c r="Y412" t="s">
        <v>24</v>
      </c>
    </row>
    <row r="413" spans="1:25" x14ac:dyDescent="0.35">
      <c r="A413" s="1" t="s">
        <v>1318</v>
      </c>
      <c r="B413" s="1" t="s">
        <v>1319</v>
      </c>
      <c r="C413" s="1" t="s">
        <v>467</v>
      </c>
      <c r="D413" s="1" t="s">
        <v>468</v>
      </c>
      <c r="E413" s="2" t="s">
        <v>2304</v>
      </c>
      <c r="F413" s="2" t="s">
        <v>1911</v>
      </c>
      <c r="G413" s="6">
        <v>4220</v>
      </c>
      <c r="H413" s="8">
        <f t="shared" si="14"/>
        <v>3637.9310344827591</v>
      </c>
      <c r="I413" s="2">
        <v>16</v>
      </c>
      <c r="J413" s="2">
        <f t="shared" si="13"/>
        <v>0.70035440758293843</v>
      </c>
      <c r="K413" t="s">
        <v>1320</v>
      </c>
      <c r="L413">
        <v>2</v>
      </c>
      <c r="M413">
        <v>1090.0899999999999</v>
      </c>
      <c r="N413">
        <v>1090.0899999999999</v>
      </c>
      <c r="O413">
        <v>0</v>
      </c>
      <c r="P413">
        <v>2180.1799999999998</v>
      </c>
      <c r="Q413">
        <v>2</v>
      </c>
      <c r="R413">
        <v>2180.1799999999998</v>
      </c>
      <c r="S413" t="s">
        <v>24</v>
      </c>
      <c r="T413" t="s">
        <v>24</v>
      </c>
      <c r="U413" t="s">
        <v>24</v>
      </c>
      <c r="V413" t="s">
        <v>25</v>
      </c>
      <c r="W413" t="s">
        <v>1320</v>
      </c>
      <c r="X413" t="s">
        <v>26</v>
      </c>
      <c r="Y413" t="s">
        <v>24</v>
      </c>
    </row>
    <row r="414" spans="1:25" x14ac:dyDescent="0.35">
      <c r="A414" s="1" t="s">
        <v>1321</v>
      </c>
      <c r="B414" s="1" t="s">
        <v>1322</v>
      </c>
      <c r="C414" s="1" t="s">
        <v>467</v>
      </c>
      <c r="D414" s="1" t="s">
        <v>468</v>
      </c>
      <c r="E414" s="2" t="s">
        <v>2305</v>
      </c>
      <c r="F414" s="2" t="s">
        <v>1911</v>
      </c>
      <c r="G414" s="6">
        <v>4048</v>
      </c>
      <c r="H414" s="8">
        <f t="shared" si="14"/>
        <v>3489.6551724137935</v>
      </c>
      <c r="I414" s="2">
        <v>16</v>
      </c>
      <c r="J414" s="2">
        <f t="shared" si="13"/>
        <v>0.66662608695652181</v>
      </c>
      <c r="K414" t="s">
        <v>1323</v>
      </c>
      <c r="L414">
        <v>1</v>
      </c>
      <c r="M414">
        <v>1163.3599999999999</v>
      </c>
      <c r="N414">
        <v>1163.3599999999999</v>
      </c>
      <c r="O414">
        <v>0</v>
      </c>
      <c r="P414">
        <v>1163.3599999999999</v>
      </c>
      <c r="Q414">
        <v>1</v>
      </c>
      <c r="R414">
        <v>1163.3599999999999</v>
      </c>
      <c r="S414" t="s">
        <v>24</v>
      </c>
      <c r="T414" t="s">
        <v>24</v>
      </c>
      <c r="U414" t="s">
        <v>24</v>
      </c>
      <c r="V414" t="s">
        <v>25</v>
      </c>
      <c r="W414" t="s">
        <v>1323</v>
      </c>
      <c r="X414" t="s">
        <v>26</v>
      </c>
      <c r="Y414" t="s">
        <v>24</v>
      </c>
    </row>
    <row r="415" spans="1:25" x14ac:dyDescent="0.35">
      <c r="A415" s="1" t="s">
        <v>1324</v>
      </c>
      <c r="B415" s="1" t="s">
        <v>1325</v>
      </c>
      <c r="C415" s="1" t="s">
        <v>467</v>
      </c>
      <c r="D415" s="1" t="s">
        <v>468</v>
      </c>
      <c r="E415" s="2" t="s">
        <v>2306</v>
      </c>
      <c r="F415" s="2" t="s">
        <v>1975</v>
      </c>
      <c r="G415" s="6">
        <v>11500</v>
      </c>
      <c r="H415" s="8">
        <f t="shared" si="14"/>
        <v>9913.7931034482772</v>
      </c>
      <c r="I415" s="2">
        <v>16</v>
      </c>
      <c r="J415" s="2">
        <f t="shared" si="13"/>
        <v>0.70008653913043473</v>
      </c>
      <c r="K415" t="s">
        <v>1326</v>
      </c>
      <c r="L415">
        <v>1</v>
      </c>
      <c r="M415">
        <v>2973.28</v>
      </c>
      <c r="N415">
        <v>2973.28</v>
      </c>
      <c r="O415">
        <v>0</v>
      </c>
      <c r="P415">
        <v>2973.28</v>
      </c>
      <c r="Q415">
        <v>1</v>
      </c>
      <c r="R415">
        <v>2973.28</v>
      </c>
      <c r="S415" t="s">
        <v>24</v>
      </c>
      <c r="T415" t="s">
        <v>24</v>
      </c>
      <c r="U415" t="s">
        <v>24</v>
      </c>
      <c r="V415" t="s">
        <v>25</v>
      </c>
      <c r="W415" t="s">
        <v>1326</v>
      </c>
      <c r="X415" t="s">
        <v>26</v>
      </c>
      <c r="Y415" t="s">
        <v>24</v>
      </c>
    </row>
    <row r="416" spans="1:25" x14ac:dyDescent="0.35">
      <c r="A416" s="1" t="s">
        <v>1327</v>
      </c>
      <c r="B416" s="1" t="s">
        <v>1328</v>
      </c>
      <c r="C416" s="1" t="s">
        <v>696</v>
      </c>
      <c r="D416" s="1" t="s">
        <v>697</v>
      </c>
      <c r="E416" s="2" t="s">
        <v>2307</v>
      </c>
      <c r="F416" s="2" t="s">
        <v>2082</v>
      </c>
      <c r="G416" s="6">
        <v>60</v>
      </c>
      <c r="H416" s="8">
        <f t="shared" si="14"/>
        <v>51.724137931034484</v>
      </c>
      <c r="I416" s="2">
        <v>16</v>
      </c>
      <c r="J416" s="2">
        <f t="shared" si="13"/>
        <v>0.78539999999999999</v>
      </c>
      <c r="K416" t="s">
        <v>1329</v>
      </c>
      <c r="L416">
        <v>4</v>
      </c>
      <c r="M416">
        <v>11.1</v>
      </c>
      <c r="N416">
        <v>11.1</v>
      </c>
      <c r="O416">
        <v>0</v>
      </c>
      <c r="P416">
        <v>44.4</v>
      </c>
      <c r="Q416">
        <v>4</v>
      </c>
      <c r="R416">
        <v>44.4</v>
      </c>
      <c r="S416" t="s">
        <v>24</v>
      </c>
      <c r="T416" t="s">
        <v>24</v>
      </c>
      <c r="U416" t="s">
        <v>24</v>
      </c>
      <c r="V416" t="s">
        <v>25</v>
      </c>
      <c r="W416" t="s">
        <v>1329</v>
      </c>
      <c r="X416" t="s">
        <v>26</v>
      </c>
      <c r="Y416" t="s">
        <v>24</v>
      </c>
    </row>
    <row r="417" spans="1:25" x14ac:dyDescent="0.35">
      <c r="A417" s="1" t="s">
        <v>1330</v>
      </c>
      <c r="B417" s="1" t="s">
        <v>1331</v>
      </c>
      <c r="C417" s="1" t="s">
        <v>249</v>
      </c>
      <c r="D417" s="1" t="s">
        <v>250</v>
      </c>
      <c r="E417" s="2" t="s">
        <v>2308</v>
      </c>
      <c r="F417" s="2" t="s">
        <v>1975</v>
      </c>
      <c r="G417" s="6">
        <v>2800</v>
      </c>
      <c r="H417" s="8">
        <f t="shared" si="14"/>
        <v>2413.7931034482758</v>
      </c>
      <c r="I417" s="2">
        <v>16</v>
      </c>
      <c r="J417" s="2">
        <f t="shared" si="13"/>
        <v>0.68008857142857138</v>
      </c>
      <c r="K417" t="s">
        <v>1332</v>
      </c>
      <c r="L417">
        <v>1</v>
      </c>
      <c r="M417">
        <v>772.2</v>
      </c>
      <c r="N417">
        <v>772.2</v>
      </c>
      <c r="O417">
        <v>0</v>
      </c>
      <c r="P417">
        <v>772.2</v>
      </c>
      <c r="Q417">
        <v>1</v>
      </c>
      <c r="R417">
        <v>772.2</v>
      </c>
      <c r="S417" t="s">
        <v>24</v>
      </c>
      <c r="T417" t="s">
        <v>24</v>
      </c>
      <c r="U417" t="s">
        <v>24</v>
      </c>
      <c r="V417" t="s">
        <v>25</v>
      </c>
      <c r="W417" t="s">
        <v>1332</v>
      </c>
      <c r="X417" t="s">
        <v>26</v>
      </c>
      <c r="Y417" t="s">
        <v>24</v>
      </c>
    </row>
    <row r="418" spans="1:25" x14ac:dyDescent="0.35">
      <c r="A418" s="1" t="s">
        <v>1333</v>
      </c>
      <c r="B418" s="1" t="s">
        <v>1334</v>
      </c>
      <c r="C418" s="1" t="s">
        <v>392</v>
      </c>
      <c r="D418" s="1" t="s">
        <v>393</v>
      </c>
      <c r="E418" s="2" t="s">
        <v>2309</v>
      </c>
      <c r="F418" s="2" t="s">
        <v>1975</v>
      </c>
      <c r="G418" s="6">
        <v>2590</v>
      </c>
      <c r="H418" s="8">
        <f t="shared" si="14"/>
        <v>2232.7586206896553</v>
      </c>
      <c r="I418" s="2">
        <v>16</v>
      </c>
      <c r="J418" s="2">
        <f t="shared" si="13"/>
        <v>0.82084942084942081</v>
      </c>
      <c r="K418" t="s">
        <v>1335</v>
      </c>
      <c r="L418">
        <v>1</v>
      </c>
      <c r="M418">
        <v>400</v>
      </c>
      <c r="N418">
        <v>400</v>
      </c>
      <c r="O418">
        <v>0</v>
      </c>
      <c r="P418">
        <v>400</v>
      </c>
      <c r="Q418">
        <v>1</v>
      </c>
      <c r="R418">
        <v>400</v>
      </c>
      <c r="S418" t="s">
        <v>24</v>
      </c>
      <c r="T418" t="s">
        <v>24</v>
      </c>
      <c r="U418" t="s">
        <v>24</v>
      </c>
      <c r="V418" t="s">
        <v>25</v>
      </c>
      <c r="W418" t="s">
        <v>1335</v>
      </c>
      <c r="X418" t="s">
        <v>26</v>
      </c>
      <c r="Y418" t="s">
        <v>24</v>
      </c>
    </row>
    <row r="419" spans="1:25" x14ac:dyDescent="0.35">
      <c r="A419" s="1" t="s">
        <v>1336</v>
      </c>
      <c r="B419" s="1" t="s">
        <v>1337</v>
      </c>
      <c r="C419" s="1" t="s">
        <v>392</v>
      </c>
      <c r="D419" s="1" t="s">
        <v>393</v>
      </c>
      <c r="E419" s="2" t="s">
        <v>2310</v>
      </c>
      <c r="F419" s="2" t="s">
        <v>1975</v>
      </c>
      <c r="G419" s="6">
        <v>1461.5</v>
      </c>
      <c r="H419" s="8">
        <f t="shared" si="14"/>
        <v>1259.9137931034484</v>
      </c>
      <c r="I419" s="2">
        <v>16</v>
      </c>
      <c r="J419" s="2">
        <f t="shared" si="13"/>
        <v>0.66267533356140951</v>
      </c>
      <c r="K419" t="s">
        <v>1338</v>
      </c>
      <c r="L419">
        <v>1</v>
      </c>
      <c r="M419">
        <v>425</v>
      </c>
      <c r="N419">
        <v>425</v>
      </c>
      <c r="O419">
        <v>0</v>
      </c>
      <c r="P419">
        <v>425</v>
      </c>
      <c r="Q419">
        <v>1</v>
      </c>
      <c r="R419">
        <v>425</v>
      </c>
      <c r="S419" t="s">
        <v>24</v>
      </c>
      <c r="T419" t="s">
        <v>24</v>
      </c>
      <c r="U419" t="s">
        <v>24</v>
      </c>
      <c r="V419" t="s">
        <v>25</v>
      </c>
      <c r="W419" t="s">
        <v>1338</v>
      </c>
      <c r="X419" t="s">
        <v>26</v>
      </c>
      <c r="Y419" t="s">
        <v>24</v>
      </c>
    </row>
    <row r="420" spans="1:25" x14ac:dyDescent="0.35">
      <c r="A420" s="1" t="s">
        <v>1339</v>
      </c>
      <c r="B420" s="1" t="s">
        <v>1340</v>
      </c>
      <c r="C420" s="1" t="s">
        <v>249</v>
      </c>
      <c r="D420" s="1" t="s">
        <v>250</v>
      </c>
      <c r="E420" s="2" t="s">
        <v>2311</v>
      </c>
      <c r="F420" s="2" t="s">
        <v>1975</v>
      </c>
      <c r="G420" s="6">
        <v>2160</v>
      </c>
      <c r="H420" s="8">
        <f t="shared" si="14"/>
        <v>1862.0689655172414</v>
      </c>
      <c r="I420" s="2">
        <v>16</v>
      </c>
      <c r="J420" s="2">
        <f t="shared" si="13"/>
        <v>0.69925925925925925</v>
      </c>
      <c r="K420" t="s">
        <v>1341</v>
      </c>
      <c r="L420">
        <v>1</v>
      </c>
      <c r="M420">
        <v>560</v>
      </c>
      <c r="N420">
        <v>560</v>
      </c>
      <c r="O420">
        <v>0</v>
      </c>
      <c r="P420">
        <v>560</v>
      </c>
      <c r="Q420">
        <v>1</v>
      </c>
      <c r="R420">
        <v>560</v>
      </c>
      <c r="S420" t="s">
        <v>24</v>
      </c>
      <c r="T420" t="s">
        <v>24</v>
      </c>
      <c r="U420" t="s">
        <v>24</v>
      </c>
      <c r="V420" t="s">
        <v>25</v>
      </c>
      <c r="W420" t="s">
        <v>1341</v>
      </c>
      <c r="X420" t="s">
        <v>26</v>
      </c>
      <c r="Y420" t="s">
        <v>24</v>
      </c>
    </row>
    <row r="421" spans="1:25" x14ac:dyDescent="0.35">
      <c r="A421" s="1" t="s">
        <v>1342</v>
      </c>
      <c r="B421" s="1" t="s">
        <v>1343</v>
      </c>
      <c r="C421" s="1" t="s">
        <v>34</v>
      </c>
      <c r="D421" s="1" t="s">
        <v>35</v>
      </c>
      <c r="E421" s="2" t="s">
        <v>2312</v>
      </c>
      <c r="F421" s="2" t="s">
        <v>1975</v>
      </c>
      <c r="G421" s="6">
        <v>780</v>
      </c>
      <c r="H421" s="8">
        <f t="shared" si="14"/>
        <v>672.41379310344837</v>
      </c>
      <c r="I421" s="2">
        <v>16</v>
      </c>
      <c r="J421" s="2">
        <f t="shared" si="13"/>
        <v>0.70107692307692315</v>
      </c>
      <c r="K421" t="s">
        <v>1344</v>
      </c>
      <c r="L421">
        <v>1</v>
      </c>
      <c r="M421">
        <v>201</v>
      </c>
      <c r="N421">
        <v>201</v>
      </c>
      <c r="O421">
        <v>0</v>
      </c>
      <c r="P421">
        <v>201</v>
      </c>
      <c r="Q421">
        <v>1</v>
      </c>
      <c r="R421">
        <v>201</v>
      </c>
      <c r="S421" t="s">
        <v>24</v>
      </c>
      <c r="T421" t="s">
        <v>24</v>
      </c>
      <c r="U421" t="s">
        <v>24</v>
      </c>
      <c r="V421" t="s">
        <v>25</v>
      </c>
      <c r="W421" t="s">
        <v>1344</v>
      </c>
      <c r="X421" t="s">
        <v>26</v>
      </c>
      <c r="Y421" t="s">
        <v>24</v>
      </c>
    </row>
    <row r="422" spans="1:25" x14ac:dyDescent="0.35">
      <c r="A422" s="1" t="s">
        <v>1345</v>
      </c>
      <c r="B422" s="1" t="s">
        <v>1346</v>
      </c>
      <c r="C422" s="1" t="s">
        <v>34</v>
      </c>
      <c r="D422" s="1" t="s">
        <v>35</v>
      </c>
      <c r="E422" s="2" t="s">
        <v>2313</v>
      </c>
      <c r="F422" s="2" t="s">
        <v>1975</v>
      </c>
      <c r="G422" s="6">
        <v>380</v>
      </c>
      <c r="H422" s="8">
        <f t="shared" si="14"/>
        <v>327.58620689655174</v>
      </c>
      <c r="I422" s="2">
        <v>16</v>
      </c>
      <c r="J422" s="2">
        <f t="shared" si="13"/>
        <v>0.65810526315789475</v>
      </c>
      <c r="K422" t="s">
        <v>1347</v>
      </c>
      <c r="L422">
        <v>2</v>
      </c>
      <c r="M422">
        <v>112</v>
      </c>
      <c r="N422">
        <v>112</v>
      </c>
      <c r="O422">
        <v>0</v>
      </c>
      <c r="P422">
        <v>224</v>
      </c>
      <c r="Q422">
        <v>2</v>
      </c>
      <c r="R422">
        <v>224</v>
      </c>
      <c r="S422" t="s">
        <v>24</v>
      </c>
      <c r="T422" t="s">
        <v>24</v>
      </c>
      <c r="U422" t="s">
        <v>24</v>
      </c>
      <c r="V422" t="s">
        <v>25</v>
      </c>
      <c r="W422" t="s">
        <v>1347</v>
      </c>
      <c r="X422" t="s">
        <v>26</v>
      </c>
      <c r="Y422" t="s">
        <v>24</v>
      </c>
    </row>
    <row r="423" spans="1:25" x14ac:dyDescent="0.35">
      <c r="A423" s="1" t="s">
        <v>1348</v>
      </c>
      <c r="B423" s="1" t="s">
        <v>1349</v>
      </c>
      <c r="C423" s="1" t="s">
        <v>34</v>
      </c>
      <c r="D423" s="1" t="s">
        <v>35</v>
      </c>
      <c r="E423" s="2" t="s">
        <v>2314</v>
      </c>
      <c r="F423" s="2" t="s">
        <v>1975</v>
      </c>
      <c r="G423" s="6">
        <v>440</v>
      </c>
      <c r="H423" s="8">
        <f t="shared" si="14"/>
        <v>379.31034482758622</v>
      </c>
      <c r="I423" s="2">
        <v>16</v>
      </c>
      <c r="J423" s="2">
        <f t="shared" si="13"/>
        <v>0.70472727272727276</v>
      </c>
      <c r="K423" t="s">
        <v>1350</v>
      </c>
      <c r="L423">
        <v>2</v>
      </c>
      <c r="M423">
        <v>112</v>
      </c>
      <c r="N423">
        <v>112</v>
      </c>
      <c r="O423">
        <v>0</v>
      </c>
      <c r="P423">
        <v>224</v>
      </c>
      <c r="Q423">
        <v>2</v>
      </c>
      <c r="R423">
        <v>224</v>
      </c>
      <c r="S423" t="s">
        <v>24</v>
      </c>
      <c r="T423" t="s">
        <v>24</v>
      </c>
      <c r="U423" t="s">
        <v>24</v>
      </c>
      <c r="V423" t="s">
        <v>25</v>
      </c>
      <c r="W423" t="s">
        <v>1350</v>
      </c>
      <c r="X423" t="s">
        <v>26</v>
      </c>
      <c r="Y423" t="s">
        <v>24</v>
      </c>
    </row>
    <row r="424" spans="1:25" x14ac:dyDescent="0.35">
      <c r="A424" s="1" t="s">
        <v>1351</v>
      </c>
      <c r="B424" s="1" t="s">
        <v>1352</v>
      </c>
      <c r="C424" s="1" t="s">
        <v>392</v>
      </c>
      <c r="D424" s="1" t="s">
        <v>393</v>
      </c>
      <c r="E424" s="2" t="s">
        <v>2315</v>
      </c>
      <c r="F424" s="2" t="s">
        <v>1975</v>
      </c>
      <c r="G424" s="6">
        <v>3760</v>
      </c>
      <c r="H424" s="8">
        <f t="shared" si="14"/>
        <v>3241.3793103448279</v>
      </c>
      <c r="I424" s="2">
        <v>16</v>
      </c>
      <c r="J424" s="2">
        <f t="shared" si="13"/>
        <v>0.69960010638297876</v>
      </c>
      <c r="K424" t="s">
        <v>1353</v>
      </c>
      <c r="L424">
        <v>1</v>
      </c>
      <c r="M424">
        <v>973.71</v>
      </c>
      <c r="N424">
        <v>973.71</v>
      </c>
      <c r="O424">
        <v>0</v>
      </c>
      <c r="P424">
        <v>973.71</v>
      </c>
      <c r="Q424">
        <v>1</v>
      </c>
      <c r="R424">
        <v>973.71</v>
      </c>
      <c r="S424" t="s">
        <v>24</v>
      </c>
      <c r="T424" t="s">
        <v>24</v>
      </c>
      <c r="U424" t="s">
        <v>24</v>
      </c>
      <c r="V424" t="s">
        <v>25</v>
      </c>
      <c r="W424" t="s">
        <v>1353</v>
      </c>
      <c r="X424" t="s">
        <v>26</v>
      </c>
      <c r="Y424" t="s">
        <v>24</v>
      </c>
    </row>
    <row r="425" spans="1:25" x14ac:dyDescent="0.35">
      <c r="A425" s="1" t="s">
        <v>1354</v>
      </c>
      <c r="B425" s="1" t="s">
        <v>1355</v>
      </c>
      <c r="C425" s="1" t="s">
        <v>21</v>
      </c>
      <c r="D425" s="1" t="s">
        <v>22</v>
      </c>
      <c r="E425" s="2" t="s">
        <v>2316</v>
      </c>
      <c r="F425" s="2" t="s">
        <v>1911</v>
      </c>
      <c r="G425" s="6">
        <v>2180</v>
      </c>
      <c r="H425" s="8">
        <f t="shared" si="14"/>
        <v>1879.3103448275863</v>
      </c>
      <c r="I425" s="2">
        <v>16</v>
      </c>
      <c r="J425" s="2">
        <f t="shared" si="13"/>
        <v>0.6986607339449542</v>
      </c>
      <c r="K425" t="s">
        <v>1356</v>
      </c>
      <c r="L425">
        <v>1</v>
      </c>
      <c r="M425">
        <v>566.30999999999995</v>
      </c>
      <c r="N425">
        <v>566.30999999999995</v>
      </c>
      <c r="O425">
        <v>0</v>
      </c>
      <c r="P425">
        <v>566.30999999999995</v>
      </c>
      <c r="Q425">
        <v>1</v>
      </c>
      <c r="R425">
        <v>566.30999999999995</v>
      </c>
      <c r="S425" t="s">
        <v>24</v>
      </c>
      <c r="T425" t="s">
        <v>24</v>
      </c>
      <c r="U425" t="s">
        <v>24</v>
      </c>
      <c r="V425" t="s">
        <v>25</v>
      </c>
      <c r="W425" t="s">
        <v>1356</v>
      </c>
      <c r="X425" t="s">
        <v>26</v>
      </c>
      <c r="Y425" t="s">
        <v>24</v>
      </c>
    </row>
    <row r="426" spans="1:25" x14ac:dyDescent="0.35">
      <c r="A426" s="1" t="s">
        <v>1357</v>
      </c>
      <c r="B426" s="1" t="s">
        <v>1358</v>
      </c>
      <c r="C426" s="1" t="s">
        <v>21</v>
      </c>
      <c r="D426" s="1" t="s">
        <v>22</v>
      </c>
      <c r="E426" s="2" t="s">
        <v>2317</v>
      </c>
      <c r="F426" s="2" t="s">
        <v>1911</v>
      </c>
      <c r="G426" s="6">
        <v>1760</v>
      </c>
      <c r="H426" s="8">
        <f t="shared" si="14"/>
        <v>1517.2413793103449</v>
      </c>
      <c r="I426" s="2">
        <v>16</v>
      </c>
      <c r="J426" s="2">
        <f t="shared" si="13"/>
        <v>0.6984988636363636</v>
      </c>
      <c r="K426" t="s">
        <v>1359</v>
      </c>
      <c r="L426">
        <v>1</v>
      </c>
      <c r="M426">
        <v>457.45</v>
      </c>
      <c r="N426">
        <v>457.45</v>
      </c>
      <c r="O426">
        <v>0</v>
      </c>
      <c r="P426">
        <v>457.45</v>
      </c>
      <c r="Q426">
        <v>1</v>
      </c>
      <c r="R426">
        <v>457.45</v>
      </c>
      <c r="S426" t="s">
        <v>24</v>
      </c>
      <c r="T426" t="s">
        <v>24</v>
      </c>
      <c r="U426" t="s">
        <v>24</v>
      </c>
      <c r="V426" t="s">
        <v>25</v>
      </c>
      <c r="W426" t="s">
        <v>1359</v>
      </c>
      <c r="X426" t="s">
        <v>26</v>
      </c>
      <c r="Y426" t="s">
        <v>24</v>
      </c>
    </row>
    <row r="427" spans="1:25" x14ac:dyDescent="0.35">
      <c r="A427" s="1" t="s">
        <v>1360</v>
      </c>
      <c r="B427" s="1" t="s">
        <v>1361</v>
      </c>
      <c r="C427" s="1" t="s">
        <v>21</v>
      </c>
      <c r="D427" s="1" t="s">
        <v>22</v>
      </c>
      <c r="E427" s="2" t="s">
        <v>2318</v>
      </c>
      <c r="F427" s="2" t="s">
        <v>1911</v>
      </c>
      <c r="G427" s="6">
        <v>7955</v>
      </c>
      <c r="H427" s="8">
        <f t="shared" si="14"/>
        <v>6857.7586206896558</v>
      </c>
      <c r="I427" s="2">
        <v>16</v>
      </c>
      <c r="J427" s="2">
        <f t="shared" si="13"/>
        <v>0.95584125707102452</v>
      </c>
      <c r="K427" t="s">
        <v>1362</v>
      </c>
      <c r="L427">
        <v>1</v>
      </c>
      <c r="M427">
        <v>302.83</v>
      </c>
      <c r="N427">
        <v>302.83</v>
      </c>
      <c r="O427">
        <v>0</v>
      </c>
      <c r="P427">
        <v>302.83</v>
      </c>
      <c r="Q427">
        <v>1</v>
      </c>
      <c r="R427">
        <v>302.83</v>
      </c>
      <c r="S427" t="s">
        <v>24</v>
      </c>
      <c r="T427" t="s">
        <v>24</v>
      </c>
      <c r="U427" t="s">
        <v>24</v>
      </c>
      <c r="V427" t="s">
        <v>25</v>
      </c>
      <c r="W427" t="s">
        <v>1362</v>
      </c>
      <c r="X427" t="s">
        <v>26</v>
      </c>
      <c r="Y427" t="s">
        <v>24</v>
      </c>
    </row>
    <row r="428" spans="1:25" x14ac:dyDescent="0.35">
      <c r="A428" s="1" t="s">
        <v>1363</v>
      </c>
      <c r="B428" s="1" t="s">
        <v>1364</v>
      </c>
      <c r="C428" s="1" t="s">
        <v>392</v>
      </c>
      <c r="D428" s="1" t="s">
        <v>393</v>
      </c>
      <c r="E428" s="2" t="s">
        <v>2319</v>
      </c>
      <c r="F428" s="2" t="s">
        <v>1975</v>
      </c>
      <c r="G428" s="6">
        <v>180</v>
      </c>
      <c r="H428" s="8">
        <f t="shared" si="14"/>
        <v>155.17241379310346</v>
      </c>
      <c r="I428" s="2">
        <v>16</v>
      </c>
      <c r="J428" s="2">
        <f t="shared" si="13"/>
        <v>0.42000000000000004</v>
      </c>
      <c r="K428" t="s">
        <v>1365</v>
      </c>
      <c r="L428">
        <v>1</v>
      </c>
      <c r="M428">
        <v>90</v>
      </c>
      <c r="N428">
        <v>90</v>
      </c>
      <c r="O428">
        <v>0</v>
      </c>
      <c r="P428">
        <v>90</v>
      </c>
      <c r="Q428">
        <v>1</v>
      </c>
      <c r="R428">
        <v>90</v>
      </c>
      <c r="S428" t="s">
        <v>24</v>
      </c>
      <c r="T428" t="s">
        <v>24</v>
      </c>
      <c r="U428" t="s">
        <v>24</v>
      </c>
      <c r="V428" t="s">
        <v>25</v>
      </c>
      <c r="W428" t="s">
        <v>1365</v>
      </c>
      <c r="X428" t="s">
        <v>26</v>
      </c>
      <c r="Y428" t="s">
        <v>24</v>
      </c>
    </row>
    <row r="429" spans="1:25" x14ac:dyDescent="0.35">
      <c r="A429" s="1" t="s">
        <v>1366</v>
      </c>
      <c r="B429" s="1" t="s">
        <v>1367</v>
      </c>
      <c r="C429" s="1" t="s">
        <v>392</v>
      </c>
      <c r="D429" s="1" t="s">
        <v>393</v>
      </c>
      <c r="E429" s="2" t="s">
        <v>2320</v>
      </c>
      <c r="F429" s="2" t="s">
        <v>1975</v>
      </c>
      <c r="G429" s="6">
        <v>180</v>
      </c>
      <c r="H429" s="8">
        <f t="shared" si="14"/>
        <v>155.17241379310346</v>
      </c>
      <c r="I429" s="2">
        <v>16</v>
      </c>
      <c r="J429" s="2">
        <f t="shared" si="13"/>
        <v>0.42000000000000004</v>
      </c>
      <c r="K429" t="s">
        <v>1368</v>
      </c>
      <c r="L429">
        <v>1</v>
      </c>
      <c r="M429">
        <v>90</v>
      </c>
      <c r="N429">
        <v>90</v>
      </c>
      <c r="O429">
        <v>0</v>
      </c>
      <c r="P429">
        <v>90</v>
      </c>
      <c r="Q429">
        <v>1</v>
      </c>
      <c r="R429">
        <v>90</v>
      </c>
      <c r="S429" t="s">
        <v>24</v>
      </c>
      <c r="T429" t="s">
        <v>24</v>
      </c>
      <c r="U429" t="s">
        <v>24</v>
      </c>
      <c r="V429" t="s">
        <v>25</v>
      </c>
      <c r="W429" t="s">
        <v>1368</v>
      </c>
      <c r="X429" t="s">
        <v>26</v>
      </c>
      <c r="Y429" t="s">
        <v>24</v>
      </c>
    </row>
    <row r="430" spans="1:25" x14ac:dyDescent="0.35">
      <c r="A430" s="1" t="s">
        <v>1369</v>
      </c>
      <c r="B430" s="1" t="s">
        <v>1370</v>
      </c>
      <c r="C430" s="1" t="s">
        <v>392</v>
      </c>
      <c r="D430" s="1" t="s">
        <v>393</v>
      </c>
      <c r="E430" s="2" t="s">
        <v>2321</v>
      </c>
      <c r="F430" s="2" t="s">
        <v>1975</v>
      </c>
      <c r="G430" s="6">
        <v>440</v>
      </c>
      <c r="H430" s="8">
        <f t="shared" si="14"/>
        <v>379.31034482758622</v>
      </c>
      <c r="I430" s="2">
        <v>16</v>
      </c>
      <c r="J430" s="2">
        <f t="shared" si="13"/>
        <v>0.7627272727272727</v>
      </c>
      <c r="K430" t="s">
        <v>1371</v>
      </c>
      <c r="L430">
        <v>1</v>
      </c>
      <c r="M430">
        <v>90</v>
      </c>
      <c r="N430">
        <v>90</v>
      </c>
      <c r="O430">
        <v>0</v>
      </c>
      <c r="P430">
        <v>90</v>
      </c>
      <c r="Q430">
        <v>1</v>
      </c>
      <c r="R430">
        <v>90</v>
      </c>
      <c r="S430" t="s">
        <v>24</v>
      </c>
      <c r="T430" t="s">
        <v>24</v>
      </c>
      <c r="U430" t="s">
        <v>24</v>
      </c>
      <c r="V430" t="s">
        <v>25</v>
      </c>
      <c r="W430" t="s">
        <v>1371</v>
      </c>
      <c r="X430" t="s">
        <v>26</v>
      </c>
      <c r="Y430" t="s">
        <v>24</v>
      </c>
    </row>
    <row r="431" spans="1:25" x14ac:dyDescent="0.35">
      <c r="A431" s="1" t="s">
        <v>1372</v>
      </c>
      <c r="B431" s="1" t="s">
        <v>1373</v>
      </c>
      <c r="C431" s="1" t="s">
        <v>392</v>
      </c>
      <c r="D431" s="1" t="s">
        <v>393</v>
      </c>
      <c r="E431" s="2" t="s">
        <v>2322</v>
      </c>
      <c r="F431" s="2" t="s">
        <v>1975</v>
      </c>
      <c r="G431" s="6">
        <v>180</v>
      </c>
      <c r="H431" s="8">
        <f t="shared" si="14"/>
        <v>155.17241379310346</v>
      </c>
      <c r="I431" s="2">
        <v>16</v>
      </c>
      <c r="J431" s="2">
        <f t="shared" si="13"/>
        <v>0.42000000000000004</v>
      </c>
      <c r="K431" t="s">
        <v>1374</v>
      </c>
      <c r="L431">
        <v>2</v>
      </c>
      <c r="M431">
        <v>90</v>
      </c>
      <c r="N431">
        <v>90</v>
      </c>
      <c r="O431">
        <v>0</v>
      </c>
      <c r="P431">
        <v>180</v>
      </c>
      <c r="Q431">
        <v>2</v>
      </c>
      <c r="R431">
        <v>180</v>
      </c>
      <c r="S431" t="s">
        <v>24</v>
      </c>
      <c r="T431" t="s">
        <v>24</v>
      </c>
      <c r="U431" t="s">
        <v>24</v>
      </c>
      <c r="V431" t="s">
        <v>25</v>
      </c>
      <c r="W431" t="s">
        <v>1374</v>
      </c>
      <c r="X431" t="s">
        <v>26</v>
      </c>
      <c r="Y431" t="s">
        <v>24</v>
      </c>
    </row>
    <row r="432" spans="1:25" x14ac:dyDescent="0.35">
      <c r="A432" s="1" t="s">
        <v>1375</v>
      </c>
      <c r="B432" s="1" t="s">
        <v>1376</v>
      </c>
      <c r="C432" s="1" t="s">
        <v>392</v>
      </c>
      <c r="D432" s="1" t="s">
        <v>393</v>
      </c>
      <c r="E432" s="2" t="s">
        <v>2323</v>
      </c>
      <c r="F432" s="2" t="s">
        <v>1975</v>
      </c>
      <c r="G432" s="6">
        <v>180</v>
      </c>
      <c r="H432" s="8">
        <f t="shared" si="14"/>
        <v>155.17241379310346</v>
      </c>
      <c r="I432" s="2">
        <v>16</v>
      </c>
      <c r="J432" s="2">
        <f t="shared" si="13"/>
        <v>0.4522222222222223</v>
      </c>
      <c r="K432" t="s">
        <v>1377</v>
      </c>
      <c r="L432">
        <v>1</v>
      </c>
      <c r="M432">
        <v>85</v>
      </c>
      <c r="N432">
        <v>85</v>
      </c>
      <c r="O432">
        <v>0</v>
      </c>
      <c r="P432">
        <v>85</v>
      </c>
      <c r="Q432">
        <v>1</v>
      </c>
      <c r="R432">
        <v>85</v>
      </c>
      <c r="S432" t="s">
        <v>24</v>
      </c>
      <c r="T432" t="s">
        <v>24</v>
      </c>
      <c r="U432" t="s">
        <v>24</v>
      </c>
      <c r="V432" t="s">
        <v>25</v>
      </c>
      <c r="W432" t="s">
        <v>1377</v>
      </c>
      <c r="X432" t="s">
        <v>26</v>
      </c>
      <c r="Y432" t="s">
        <v>24</v>
      </c>
    </row>
    <row r="433" spans="1:25" x14ac:dyDescent="0.35">
      <c r="A433" s="1" t="s">
        <v>1378</v>
      </c>
      <c r="B433" s="1" t="s">
        <v>1379</v>
      </c>
      <c r="C433" s="1" t="s">
        <v>392</v>
      </c>
      <c r="D433" s="1" t="s">
        <v>393</v>
      </c>
      <c r="E433" s="2" t="s">
        <v>2324</v>
      </c>
      <c r="F433" s="2" t="s">
        <v>1975</v>
      </c>
      <c r="G433" s="6">
        <v>300</v>
      </c>
      <c r="H433" s="8">
        <f t="shared" si="14"/>
        <v>258.62068965517244</v>
      </c>
      <c r="I433" s="2">
        <v>16</v>
      </c>
      <c r="J433" s="2">
        <f t="shared" si="13"/>
        <v>0.67133333333333334</v>
      </c>
      <c r="K433" t="s">
        <v>1380</v>
      </c>
      <c r="L433">
        <v>1</v>
      </c>
      <c r="M433">
        <v>85</v>
      </c>
      <c r="N433">
        <v>85</v>
      </c>
      <c r="O433">
        <v>0</v>
      </c>
      <c r="P433">
        <v>85</v>
      </c>
      <c r="Q433">
        <v>1</v>
      </c>
      <c r="R433">
        <v>85</v>
      </c>
      <c r="S433" t="s">
        <v>24</v>
      </c>
      <c r="T433" t="s">
        <v>24</v>
      </c>
      <c r="U433" t="s">
        <v>24</v>
      </c>
      <c r="V433" t="s">
        <v>25</v>
      </c>
      <c r="W433" t="s">
        <v>1380</v>
      </c>
      <c r="X433" t="s">
        <v>26</v>
      </c>
      <c r="Y433" t="s">
        <v>24</v>
      </c>
    </row>
    <row r="434" spans="1:25" x14ac:dyDescent="0.35">
      <c r="A434" s="1" t="s">
        <v>1381</v>
      </c>
      <c r="B434" s="1" t="s">
        <v>1382</v>
      </c>
      <c r="C434" s="1" t="s">
        <v>392</v>
      </c>
      <c r="D434" s="1" t="s">
        <v>393</v>
      </c>
      <c r="E434" s="2" t="s">
        <v>2325</v>
      </c>
      <c r="F434" s="2" t="s">
        <v>1975</v>
      </c>
      <c r="G434" s="6">
        <v>180</v>
      </c>
      <c r="H434" s="8">
        <f t="shared" si="14"/>
        <v>155.17241379310346</v>
      </c>
      <c r="I434" s="2">
        <v>16</v>
      </c>
      <c r="J434" s="2">
        <f t="shared" si="13"/>
        <v>0.42000000000000004</v>
      </c>
      <c r="K434" t="s">
        <v>1383</v>
      </c>
      <c r="L434">
        <v>1</v>
      </c>
      <c r="M434">
        <v>90</v>
      </c>
      <c r="N434">
        <v>90</v>
      </c>
      <c r="O434">
        <v>0</v>
      </c>
      <c r="P434">
        <v>90</v>
      </c>
      <c r="Q434">
        <v>1</v>
      </c>
      <c r="R434">
        <v>90</v>
      </c>
      <c r="S434" t="s">
        <v>24</v>
      </c>
      <c r="T434" t="s">
        <v>24</v>
      </c>
      <c r="U434" t="s">
        <v>24</v>
      </c>
      <c r="V434" t="s">
        <v>25</v>
      </c>
      <c r="W434" t="s">
        <v>1383</v>
      </c>
      <c r="X434" t="s">
        <v>26</v>
      </c>
      <c r="Y434" t="s">
        <v>24</v>
      </c>
    </row>
    <row r="435" spans="1:25" x14ac:dyDescent="0.35">
      <c r="A435" s="1" t="s">
        <v>1384</v>
      </c>
      <c r="B435" s="1" t="s">
        <v>1385</v>
      </c>
      <c r="C435" s="1" t="s">
        <v>392</v>
      </c>
      <c r="D435" s="1" t="s">
        <v>393</v>
      </c>
      <c r="E435" s="2" t="s">
        <v>2326</v>
      </c>
      <c r="F435" s="2" t="s">
        <v>1975</v>
      </c>
      <c r="G435" s="6">
        <v>1572.5</v>
      </c>
      <c r="H435" s="8">
        <f t="shared" si="14"/>
        <v>1355.6034482758621</v>
      </c>
      <c r="I435" s="2">
        <v>16</v>
      </c>
      <c r="J435" s="2">
        <f t="shared" si="13"/>
        <v>0.6791096979332274</v>
      </c>
      <c r="K435" t="s">
        <v>1386</v>
      </c>
      <c r="L435">
        <v>2</v>
      </c>
      <c r="M435">
        <v>435</v>
      </c>
      <c r="N435">
        <v>435</v>
      </c>
      <c r="O435">
        <v>0</v>
      </c>
      <c r="P435">
        <v>870</v>
      </c>
      <c r="Q435">
        <v>2</v>
      </c>
      <c r="R435">
        <v>870</v>
      </c>
      <c r="S435" t="s">
        <v>24</v>
      </c>
      <c r="T435" t="s">
        <v>24</v>
      </c>
      <c r="U435" t="s">
        <v>24</v>
      </c>
      <c r="V435" t="s">
        <v>25</v>
      </c>
      <c r="W435" t="s">
        <v>1386</v>
      </c>
      <c r="X435" t="s">
        <v>26</v>
      </c>
      <c r="Y435" t="s">
        <v>24</v>
      </c>
    </row>
    <row r="436" spans="1:25" x14ac:dyDescent="0.35">
      <c r="A436" s="1" t="s">
        <v>1185</v>
      </c>
      <c r="B436" s="1" t="s">
        <v>1186</v>
      </c>
      <c r="C436" s="1" t="s">
        <v>392</v>
      </c>
      <c r="D436" s="1" t="s">
        <v>393</v>
      </c>
      <c r="E436" s="2" t="s">
        <v>2264</v>
      </c>
      <c r="F436" s="2" t="s">
        <v>1975</v>
      </c>
      <c r="G436" s="6">
        <v>240</v>
      </c>
      <c r="H436" s="8">
        <f t="shared" si="14"/>
        <v>206.89655172413794</v>
      </c>
      <c r="I436" s="2">
        <v>16</v>
      </c>
      <c r="J436" s="2">
        <f t="shared" si="13"/>
        <v>0.32816666666666672</v>
      </c>
      <c r="K436" t="s">
        <v>1387</v>
      </c>
      <c r="L436">
        <v>2</v>
      </c>
      <c r="M436">
        <v>139</v>
      </c>
      <c r="N436">
        <v>139</v>
      </c>
      <c r="O436">
        <v>0</v>
      </c>
      <c r="P436">
        <v>278</v>
      </c>
      <c r="Q436">
        <v>2</v>
      </c>
      <c r="R436">
        <v>278</v>
      </c>
      <c r="S436" t="s">
        <v>24</v>
      </c>
      <c r="T436" t="s">
        <v>24</v>
      </c>
      <c r="U436" t="s">
        <v>24</v>
      </c>
      <c r="V436" t="s">
        <v>25</v>
      </c>
      <c r="W436" t="s">
        <v>1387</v>
      </c>
      <c r="X436" t="s">
        <v>26</v>
      </c>
      <c r="Y436" t="s">
        <v>24</v>
      </c>
    </row>
    <row r="437" spans="1:25" x14ac:dyDescent="0.35">
      <c r="A437" s="1" t="s">
        <v>1388</v>
      </c>
      <c r="B437" s="1" t="s">
        <v>1389</v>
      </c>
      <c r="C437" s="1" t="s">
        <v>254</v>
      </c>
      <c r="D437" s="1" t="s">
        <v>255</v>
      </c>
      <c r="E437" s="2" t="s">
        <v>2327</v>
      </c>
      <c r="F437" s="2" t="s">
        <v>1911</v>
      </c>
      <c r="G437" s="6">
        <v>60</v>
      </c>
      <c r="H437" s="8">
        <f t="shared" si="14"/>
        <v>51.724137931034484</v>
      </c>
      <c r="I437" s="2">
        <v>16</v>
      </c>
      <c r="J437" s="2">
        <f t="shared" si="13"/>
        <v>0.71</v>
      </c>
      <c r="K437" t="s">
        <v>1390</v>
      </c>
      <c r="L437">
        <v>5</v>
      </c>
      <c r="M437">
        <v>15</v>
      </c>
      <c r="N437">
        <v>15</v>
      </c>
      <c r="O437">
        <v>0</v>
      </c>
      <c r="P437">
        <v>60</v>
      </c>
      <c r="Q437">
        <v>4</v>
      </c>
      <c r="R437">
        <v>60</v>
      </c>
      <c r="S437" t="s">
        <v>24</v>
      </c>
      <c r="T437" t="s">
        <v>24</v>
      </c>
      <c r="U437" t="s">
        <v>24</v>
      </c>
      <c r="V437" t="s">
        <v>25</v>
      </c>
      <c r="W437" t="s">
        <v>1390</v>
      </c>
      <c r="X437" t="s">
        <v>26</v>
      </c>
      <c r="Y437" t="s">
        <v>24</v>
      </c>
    </row>
    <row r="438" spans="1:25" x14ac:dyDescent="0.35">
      <c r="A438" s="1" t="s">
        <v>1391</v>
      </c>
      <c r="B438" s="1" t="s">
        <v>1392</v>
      </c>
      <c r="C438" s="1" t="s">
        <v>392</v>
      </c>
      <c r="D438" s="1" t="s">
        <v>393</v>
      </c>
      <c r="E438" s="2" t="s">
        <v>2328</v>
      </c>
      <c r="F438" s="2" t="s">
        <v>1975</v>
      </c>
      <c r="G438" s="6">
        <v>1460</v>
      </c>
      <c r="H438" s="8">
        <f t="shared" si="14"/>
        <v>1258.6206896551726</v>
      </c>
      <c r="I438" s="2">
        <v>16</v>
      </c>
      <c r="J438" s="2">
        <f t="shared" si="13"/>
        <v>0.70205479452054798</v>
      </c>
      <c r="K438" t="s">
        <v>1393</v>
      </c>
      <c r="L438">
        <v>1</v>
      </c>
      <c r="M438">
        <v>375</v>
      </c>
      <c r="N438">
        <v>375</v>
      </c>
      <c r="O438">
        <v>0</v>
      </c>
      <c r="P438">
        <v>375</v>
      </c>
      <c r="Q438">
        <v>1</v>
      </c>
      <c r="R438">
        <v>375</v>
      </c>
      <c r="S438" t="s">
        <v>24</v>
      </c>
      <c r="T438" t="s">
        <v>24</v>
      </c>
      <c r="U438" t="s">
        <v>24</v>
      </c>
      <c r="V438" t="s">
        <v>25</v>
      </c>
      <c r="W438" t="s">
        <v>1393</v>
      </c>
      <c r="X438" t="s">
        <v>26</v>
      </c>
      <c r="Y438" t="s">
        <v>24</v>
      </c>
    </row>
    <row r="439" spans="1:25" x14ac:dyDescent="0.35">
      <c r="A439" s="1" t="s">
        <v>1394</v>
      </c>
      <c r="B439" s="1" t="s">
        <v>1395</v>
      </c>
      <c r="C439" s="1" t="s">
        <v>392</v>
      </c>
      <c r="D439" s="1" t="s">
        <v>393</v>
      </c>
      <c r="E439" s="2" t="s">
        <v>2329</v>
      </c>
      <c r="F439" s="2" t="s">
        <v>1975</v>
      </c>
      <c r="G439" s="6">
        <v>940</v>
      </c>
      <c r="H439" s="8">
        <f t="shared" si="14"/>
        <v>810.34482758620697</v>
      </c>
      <c r="I439" s="2">
        <v>16</v>
      </c>
      <c r="J439" s="2">
        <f t="shared" si="13"/>
        <v>0.50638297872340432</v>
      </c>
      <c r="K439" t="s">
        <v>1396</v>
      </c>
      <c r="L439">
        <v>1</v>
      </c>
      <c r="M439">
        <v>400</v>
      </c>
      <c r="N439">
        <v>400</v>
      </c>
      <c r="O439">
        <v>0</v>
      </c>
      <c r="P439">
        <v>400</v>
      </c>
      <c r="Q439">
        <v>1</v>
      </c>
      <c r="R439">
        <v>400</v>
      </c>
      <c r="S439" t="s">
        <v>24</v>
      </c>
      <c r="T439" t="s">
        <v>24</v>
      </c>
      <c r="U439" t="s">
        <v>24</v>
      </c>
      <c r="V439" t="s">
        <v>25</v>
      </c>
      <c r="W439" t="s">
        <v>1396</v>
      </c>
      <c r="X439" t="s">
        <v>26</v>
      </c>
      <c r="Y439" t="s">
        <v>24</v>
      </c>
    </row>
    <row r="440" spans="1:25" x14ac:dyDescent="0.35">
      <c r="A440" s="1" t="s">
        <v>1397</v>
      </c>
      <c r="B440" s="1" t="s">
        <v>1398</v>
      </c>
      <c r="C440" s="1" t="s">
        <v>392</v>
      </c>
      <c r="D440" s="1" t="s">
        <v>393</v>
      </c>
      <c r="E440" s="2" t="s">
        <v>2330</v>
      </c>
      <c r="F440" s="2" t="s">
        <v>1975</v>
      </c>
      <c r="G440" s="6">
        <v>940</v>
      </c>
      <c r="H440" s="8">
        <f t="shared" si="14"/>
        <v>810.34482758620697</v>
      </c>
      <c r="I440" s="2">
        <v>16</v>
      </c>
      <c r="J440" s="2">
        <f t="shared" si="13"/>
        <v>0.50638297872340432</v>
      </c>
      <c r="K440" t="s">
        <v>1399</v>
      </c>
      <c r="L440">
        <v>2</v>
      </c>
      <c r="M440">
        <v>400</v>
      </c>
      <c r="N440">
        <v>400</v>
      </c>
      <c r="O440">
        <v>0</v>
      </c>
      <c r="P440">
        <v>800</v>
      </c>
      <c r="Q440">
        <v>2</v>
      </c>
      <c r="R440">
        <v>800</v>
      </c>
      <c r="S440" t="s">
        <v>24</v>
      </c>
      <c r="T440" t="s">
        <v>24</v>
      </c>
      <c r="U440" t="s">
        <v>24</v>
      </c>
      <c r="V440" t="s">
        <v>25</v>
      </c>
      <c r="W440" t="s">
        <v>1399</v>
      </c>
      <c r="X440" t="s">
        <v>26</v>
      </c>
      <c r="Y440" t="s">
        <v>24</v>
      </c>
    </row>
    <row r="441" spans="1:25" x14ac:dyDescent="0.35">
      <c r="A441" s="1" t="s">
        <v>1400</v>
      </c>
      <c r="B441" s="1" t="s">
        <v>1401</v>
      </c>
      <c r="C441" s="1" t="s">
        <v>392</v>
      </c>
      <c r="D441" s="1" t="s">
        <v>393</v>
      </c>
      <c r="E441" s="2" t="s">
        <v>2331</v>
      </c>
      <c r="F441" s="2" t="s">
        <v>1975</v>
      </c>
      <c r="G441" s="6">
        <v>2220</v>
      </c>
      <c r="H441" s="8">
        <f t="shared" si="14"/>
        <v>1913.793103448276</v>
      </c>
      <c r="I441" s="2">
        <v>16</v>
      </c>
      <c r="J441" s="2">
        <f t="shared" si="13"/>
        <v>0.7641202702702703</v>
      </c>
      <c r="K441" t="s">
        <v>1402</v>
      </c>
      <c r="L441">
        <v>2</v>
      </c>
      <c r="M441">
        <v>451.42500000000001</v>
      </c>
      <c r="N441">
        <v>451.42500000000001</v>
      </c>
      <c r="O441">
        <v>0</v>
      </c>
      <c r="P441">
        <v>902.85</v>
      </c>
      <c r="Q441">
        <v>2</v>
      </c>
      <c r="R441">
        <v>902.85</v>
      </c>
      <c r="S441" t="s">
        <v>24</v>
      </c>
      <c r="T441" t="s">
        <v>24</v>
      </c>
      <c r="U441" t="s">
        <v>24</v>
      </c>
      <c r="V441" t="s">
        <v>25</v>
      </c>
      <c r="W441" t="s">
        <v>1402</v>
      </c>
      <c r="X441" t="s">
        <v>26</v>
      </c>
      <c r="Y441" t="s">
        <v>24</v>
      </c>
    </row>
    <row r="442" spans="1:25" x14ac:dyDescent="0.35">
      <c r="A442" s="1" t="s">
        <v>1403</v>
      </c>
      <c r="B442" s="1" t="s">
        <v>1404</v>
      </c>
      <c r="C442" s="1" t="s">
        <v>392</v>
      </c>
      <c r="D442" s="1" t="s">
        <v>393</v>
      </c>
      <c r="E442" s="2" t="s">
        <v>2332</v>
      </c>
      <c r="F442" s="2" t="s">
        <v>1975</v>
      </c>
      <c r="G442" s="6">
        <v>2220</v>
      </c>
      <c r="H442" s="8">
        <f t="shared" si="14"/>
        <v>1913.793103448276</v>
      </c>
      <c r="I442" s="2">
        <v>16</v>
      </c>
      <c r="J442" s="2">
        <f t="shared" si="13"/>
        <v>0.7612594594594595</v>
      </c>
      <c r="K442" t="s">
        <v>1405</v>
      </c>
      <c r="L442">
        <v>1</v>
      </c>
      <c r="M442">
        <v>456.9</v>
      </c>
      <c r="N442">
        <v>456.9</v>
      </c>
      <c r="O442">
        <v>0</v>
      </c>
      <c r="P442">
        <v>456.9</v>
      </c>
      <c r="Q442">
        <v>1</v>
      </c>
      <c r="R442">
        <v>456.9</v>
      </c>
      <c r="S442" t="s">
        <v>24</v>
      </c>
      <c r="T442" t="s">
        <v>24</v>
      </c>
      <c r="U442" t="s">
        <v>24</v>
      </c>
      <c r="V442" t="s">
        <v>25</v>
      </c>
      <c r="W442" t="s">
        <v>1405</v>
      </c>
      <c r="X442" t="s">
        <v>26</v>
      </c>
      <c r="Y442" t="s">
        <v>24</v>
      </c>
    </row>
    <row r="443" spans="1:25" x14ac:dyDescent="0.35">
      <c r="A443" s="1" t="s">
        <v>1406</v>
      </c>
      <c r="B443" s="1" t="s">
        <v>1407</v>
      </c>
      <c r="C443" s="1" t="s">
        <v>453</v>
      </c>
      <c r="D443" s="1" t="s">
        <v>454</v>
      </c>
      <c r="E443" s="2" t="s">
        <v>2333</v>
      </c>
      <c r="F443" s="2" t="s">
        <v>1911</v>
      </c>
      <c r="G443" s="6">
        <v>1580</v>
      </c>
      <c r="H443" s="8">
        <f t="shared" si="14"/>
        <v>1362.0689655172414</v>
      </c>
      <c r="I443" s="2">
        <v>16</v>
      </c>
      <c r="J443" s="2">
        <f t="shared" si="13"/>
        <v>0.67035443037974685</v>
      </c>
      <c r="K443" t="s">
        <v>1408</v>
      </c>
      <c r="L443">
        <v>2</v>
      </c>
      <c r="M443">
        <v>449</v>
      </c>
      <c r="N443">
        <v>449</v>
      </c>
      <c r="O443">
        <v>0</v>
      </c>
      <c r="P443">
        <v>898</v>
      </c>
      <c r="Q443">
        <v>2</v>
      </c>
      <c r="R443">
        <v>898</v>
      </c>
      <c r="S443" t="s">
        <v>24</v>
      </c>
      <c r="T443" t="s">
        <v>24</v>
      </c>
      <c r="U443" t="s">
        <v>24</v>
      </c>
      <c r="V443" t="s">
        <v>25</v>
      </c>
      <c r="W443" t="s">
        <v>1408</v>
      </c>
      <c r="X443" t="s">
        <v>26</v>
      </c>
      <c r="Y443" t="s">
        <v>24</v>
      </c>
    </row>
    <row r="444" spans="1:25" x14ac:dyDescent="0.35">
      <c r="A444" s="1" t="s">
        <v>1409</v>
      </c>
      <c r="B444" s="1" t="s">
        <v>1410</v>
      </c>
      <c r="C444" s="1" t="s">
        <v>453</v>
      </c>
      <c r="D444" s="1" t="s">
        <v>454</v>
      </c>
      <c r="E444" s="2" t="s">
        <v>2334</v>
      </c>
      <c r="F444" s="2" t="s">
        <v>1911</v>
      </c>
      <c r="G444" s="6">
        <v>1780</v>
      </c>
      <c r="H444" s="8">
        <f t="shared" si="14"/>
        <v>1534.4827586206898</v>
      </c>
      <c r="I444" s="2">
        <v>16</v>
      </c>
      <c r="J444" s="2">
        <f t="shared" si="13"/>
        <v>0.70739325842696632</v>
      </c>
      <c r="K444" t="s">
        <v>1411</v>
      </c>
      <c r="L444">
        <v>2</v>
      </c>
      <c r="M444">
        <v>449</v>
      </c>
      <c r="N444">
        <v>449</v>
      </c>
      <c r="O444">
        <v>0</v>
      </c>
      <c r="P444">
        <v>898</v>
      </c>
      <c r="Q444">
        <v>2</v>
      </c>
      <c r="R444">
        <v>898</v>
      </c>
      <c r="S444" t="s">
        <v>24</v>
      </c>
      <c r="T444" t="s">
        <v>24</v>
      </c>
      <c r="U444" t="s">
        <v>24</v>
      </c>
      <c r="V444" t="s">
        <v>25</v>
      </c>
      <c r="W444" t="s">
        <v>1411</v>
      </c>
      <c r="X444" t="s">
        <v>26</v>
      </c>
      <c r="Y444" t="s">
        <v>24</v>
      </c>
    </row>
    <row r="445" spans="1:25" x14ac:dyDescent="0.35">
      <c r="A445" s="1" t="s">
        <v>1412</v>
      </c>
      <c r="B445" s="1" t="s">
        <v>1413</v>
      </c>
      <c r="C445" s="1" t="s">
        <v>453</v>
      </c>
      <c r="D445" s="1" t="s">
        <v>454</v>
      </c>
      <c r="E445" s="2" t="s">
        <v>2335</v>
      </c>
      <c r="F445" s="2" t="s">
        <v>1911</v>
      </c>
      <c r="G445" s="6">
        <v>1780</v>
      </c>
      <c r="H445" s="8">
        <f t="shared" si="14"/>
        <v>1534.4827586206898</v>
      </c>
      <c r="I445" s="2">
        <v>16</v>
      </c>
      <c r="J445" s="2">
        <f t="shared" si="13"/>
        <v>0.70739325842696632</v>
      </c>
      <c r="K445" t="s">
        <v>1414</v>
      </c>
      <c r="L445">
        <v>2</v>
      </c>
      <c r="M445">
        <v>449</v>
      </c>
      <c r="N445">
        <v>449</v>
      </c>
      <c r="O445">
        <v>0</v>
      </c>
      <c r="P445">
        <v>898</v>
      </c>
      <c r="Q445">
        <v>2</v>
      </c>
      <c r="R445">
        <v>898</v>
      </c>
      <c r="S445" t="s">
        <v>24</v>
      </c>
      <c r="T445" t="s">
        <v>24</v>
      </c>
      <c r="U445" t="s">
        <v>24</v>
      </c>
      <c r="V445" t="s">
        <v>25</v>
      </c>
      <c r="W445" t="s">
        <v>1414</v>
      </c>
      <c r="X445" t="s">
        <v>26</v>
      </c>
      <c r="Y445" t="s">
        <v>24</v>
      </c>
    </row>
    <row r="446" spans="1:25" x14ac:dyDescent="0.35">
      <c r="A446" s="1" t="s">
        <v>1415</v>
      </c>
      <c r="B446" s="1" t="s">
        <v>1416</v>
      </c>
      <c r="C446" s="1" t="s">
        <v>453</v>
      </c>
      <c r="D446" s="1" t="s">
        <v>454</v>
      </c>
      <c r="E446" s="2" t="s">
        <v>2336</v>
      </c>
      <c r="F446" s="2" t="s">
        <v>1911</v>
      </c>
      <c r="G446" s="6">
        <v>1780</v>
      </c>
      <c r="H446" s="8">
        <f t="shared" si="14"/>
        <v>1534.4827586206898</v>
      </c>
      <c r="I446" s="2">
        <v>16</v>
      </c>
      <c r="J446" s="2">
        <f t="shared" si="13"/>
        <v>0.70739325842696632</v>
      </c>
      <c r="K446" t="s">
        <v>1417</v>
      </c>
      <c r="L446">
        <v>1</v>
      </c>
      <c r="M446">
        <v>449</v>
      </c>
      <c r="N446">
        <v>449</v>
      </c>
      <c r="O446">
        <v>0</v>
      </c>
      <c r="P446">
        <v>449</v>
      </c>
      <c r="Q446">
        <v>1</v>
      </c>
      <c r="R446">
        <v>449</v>
      </c>
      <c r="S446" t="s">
        <v>24</v>
      </c>
      <c r="T446" t="s">
        <v>24</v>
      </c>
      <c r="U446" t="s">
        <v>24</v>
      </c>
      <c r="V446" t="s">
        <v>25</v>
      </c>
      <c r="W446" t="s">
        <v>1417</v>
      </c>
      <c r="X446" t="s">
        <v>26</v>
      </c>
      <c r="Y446" t="s">
        <v>24</v>
      </c>
    </row>
    <row r="447" spans="1:25" x14ac:dyDescent="0.35">
      <c r="A447" s="1" t="s">
        <v>1418</v>
      </c>
      <c r="B447" s="1" t="s">
        <v>1419</v>
      </c>
      <c r="C447" s="1" t="s">
        <v>453</v>
      </c>
      <c r="D447" s="1" t="s">
        <v>454</v>
      </c>
      <c r="E447" s="2" t="s">
        <v>2337</v>
      </c>
      <c r="F447" s="2" t="s">
        <v>1911</v>
      </c>
      <c r="G447" s="6">
        <v>1580</v>
      </c>
      <c r="H447" s="8">
        <f t="shared" si="14"/>
        <v>1362.0689655172414</v>
      </c>
      <c r="I447" s="2">
        <v>16</v>
      </c>
      <c r="J447" s="2">
        <f t="shared" si="13"/>
        <v>0.67035443037974685</v>
      </c>
      <c r="K447" t="s">
        <v>1420</v>
      </c>
      <c r="L447">
        <v>2</v>
      </c>
      <c r="M447">
        <v>449</v>
      </c>
      <c r="N447">
        <v>449</v>
      </c>
      <c r="O447">
        <v>0</v>
      </c>
      <c r="P447">
        <v>898</v>
      </c>
      <c r="Q447">
        <v>2</v>
      </c>
      <c r="R447">
        <v>898</v>
      </c>
      <c r="S447" t="s">
        <v>24</v>
      </c>
      <c r="T447" t="s">
        <v>24</v>
      </c>
      <c r="U447" t="s">
        <v>24</v>
      </c>
      <c r="V447" t="s">
        <v>25</v>
      </c>
      <c r="W447" t="s">
        <v>1420</v>
      </c>
      <c r="X447" t="s">
        <v>26</v>
      </c>
      <c r="Y447" t="s">
        <v>24</v>
      </c>
    </row>
    <row r="448" spans="1:25" x14ac:dyDescent="0.35">
      <c r="A448" s="1" t="s">
        <v>1421</v>
      </c>
      <c r="B448" s="1" t="s">
        <v>1422</v>
      </c>
      <c r="C448" s="1" t="s">
        <v>453</v>
      </c>
      <c r="D448" s="1" t="s">
        <v>454</v>
      </c>
      <c r="E448" s="2" t="s">
        <v>2338</v>
      </c>
      <c r="F448" s="2" t="s">
        <v>1911</v>
      </c>
      <c r="G448" s="6">
        <v>1580</v>
      </c>
      <c r="H448" s="8">
        <f t="shared" si="14"/>
        <v>1362.0689655172414</v>
      </c>
      <c r="I448" s="2">
        <v>16</v>
      </c>
      <c r="J448" s="2">
        <f t="shared" si="13"/>
        <v>0.67035443037974685</v>
      </c>
      <c r="K448" t="s">
        <v>1423</v>
      </c>
      <c r="L448">
        <v>2</v>
      </c>
      <c r="M448">
        <v>449</v>
      </c>
      <c r="N448">
        <v>449</v>
      </c>
      <c r="O448">
        <v>0</v>
      </c>
      <c r="P448">
        <v>898</v>
      </c>
      <c r="Q448">
        <v>2</v>
      </c>
      <c r="R448">
        <v>898</v>
      </c>
      <c r="S448" t="s">
        <v>24</v>
      </c>
      <c r="T448" t="s">
        <v>24</v>
      </c>
      <c r="U448" t="s">
        <v>24</v>
      </c>
      <c r="V448" t="s">
        <v>25</v>
      </c>
      <c r="W448" t="s">
        <v>1423</v>
      </c>
      <c r="X448" t="s">
        <v>26</v>
      </c>
      <c r="Y448" t="s">
        <v>24</v>
      </c>
    </row>
    <row r="449" spans="1:25" x14ac:dyDescent="0.35">
      <c r="A449" s="1" t="s">
        <v>1424</v>
      </c>
      <c r="B449" s="1" t="s">
        <v>1425</v>
      </c>
      <c r="C449" s="1" t="s">
        <v>453</v>
      </c>
      <c r="D449" s="1" t="s">
        <v>454</v>
      </c>
      <c r="E449" s="2" t="s">
        <v>2339</v>
      </c>
      <c r="F449" s="2" t="s">
        <v>1911</v>
      </c>
      <c r="G449" s="6">
        <v>1780</v>
      </c>
      <c r="H449" s="8">
        <f t="shared" si="14"/>
        <v>1534.4827586206898</v>
      </c>
      <c r="I449" s="2">
        <v>16</v>
      </c>
      <c r="J449" s="2">
        <f t="shared" si="13"/>
        <v>0.70739325842696632</v>
      </c>
      <c r="K449" t="s">
        <v>1426</v>
      </c>
      <c r="L449">
        <v>2</v>
      </c>
      <c r="M449">
        <v>449</v>
      </c>
      <c r="N449">
        <v>449</v>
      </c>
      <c r="O449">
        <v>0</v>
      </c>
      <c r="P449">
        <v>898</v>
      </c>
      <c r="Q449">
        <v>2</v>
      </c>
      <c r="R449">
        <v>898</v>
      </c>
      <c r="S449" t="s">
        <v>24</v>
      </c>
      <c r="T449" t="s">
        <v>24</v>
      </c>
      <c r="U449" t="s">
        <v>24</v>
      </c>
      <c r="V449" t="s">
        <v>25</v>
      </c>
      <c r="W449" t="s">
        <v>1426</v>
      </c>
      <c r="X449" t="s">
        <v>26</v>
      </c>
      <c r="Y449" t="s">
        <v>24</v>
      </c>
    </row>
    <row r="450" spans="1:25" x14ac:dyDescent="0.35">
      <c r="A450" s="1" t="s">
        <v>1427</v>
      </c>
      <c r="B450" s="1" t="s">
        <v>1428</v>
      </c>
      <c r="C450" s="1" t="s">
        <v>1273</v>
      </c>
      <c r="D450" s="1" t="s">
        <v>1274</v>
      </c>
      <c r="E450" s="2" t="s">
        <v>2340</v>
      </c>
      <c r="F450" s="2" t="s">
        <v>1911</v>
      </c>
      <c r="G450" s="6">
        <v>13940</v>
      </c>
      <c r="H450" s="8">
        <f t="shared" si="14"/>
        <v>12017.241379310346</v>
      </c>
      <c r="I450" s="2">
        <v>16</v>
      </c>
      <c r="J450" s="2">
        <f t="shared" si="13"/>
        <v>0.69987538020086082</v>
      </c>
      <c r="K450" t="s">
        <v>1429</v>
      </c>
      <c r="L450">
        <v>1</v>
      </c>
      <c r="M450">
        <v>3606.67</v>
      </c>
      <c r="N450">
        <v>3606.67</v>
      </c>
      <c r="O450">
        <v>0</v>
      </c>
      <c r="P450">
        <v>3606.67</v>
      </c>
      <c r="Q450">
        <v>1</v>
      </c>
      <c r="R450">
        <v>3606.67</v>
      </c>
      <c r="S450" t="s">
        <v>24</v>
      </c>
      <c r="T450" t="s">
        <v>24</v>
      </c>
      <c r="U450" t="s">
        <v>24</v>
      </c>
      <c r="V450" t="s">
        <v>25</v>
      </c>
      <c r="W450" t="s">
        <v>1429</v>
      </c>
      <c r="X450" t="s">
        <v>26</v>
      </c>
      <c r="Y450" t="s">
        <v>24</v>
      </c>
    </row>
    <row r="451" spans="1:25" x14ac:dyDescent="0.35">
      <c r="A451" s="1" t="s">
        <v>1430</v>
      </c>
      <c r="B451" s="1" t="s">
        <v>1431</v>
      </c>
      <c r="C451" s="1" t="s">
        <v>1273</v>
      </c>
      <c r="D451" s="1" t="s">
        <v>1274</v>
      </c>
      <c r="E451" s="2" t="s">
        <v>2341</v>
      </c>
      <c r="F451" s="2" t="s">
        <v>1911</v>
      </c>
      <c r="G451" s="6">
        <v>7040</v>
      </c>
      <c r="H451" s="8">
        <f t="shared" si="14"/>
        <v>6068.9655172413795</v>
      </c>
      <c r="I451" s="2">
        <v>16</v>
      </c>
      <c r="J451" s="2">
        <f t="shared" ref="J451:J514" si="15">1-M451/H451</f>
        <v>0.70018119318181826</v>
      </c>
      <c r="K451" t="s">
        <v>1432</v>
      </c>
      <c r="L451">
        <v>1</v>
      </c>
      <c r="M451">
        <v>1819.59</v>
      </c>
      <c r="N451">
        <v>1819.59</v>
      </c>
      <c r="O451">
        <v>0</v>
      </c>
      <c r="P451">
        <v>1819.59</v>
      </c>
      <c r="Q451">
        <v>1</v>
      </c>
      <c r="R451">
        <v>1819.59</v>
      </c>
      <c r="S451" t="s">
        <v>24</v>
      </c>
      <c r="T451" t="s">
        <v>24</v>
      </c>
      <c r="U451" t="s">
        <v>24</v>
      </c>
      <c r="V451" t="s">
        <v>25</v>
      </c>
      <c r="W451" t="s">
        <v>1432</v>
      </c>
      <c r="X451" t="s">
        <v>26</v>
      </c>
      <c r="Y451" t="s">
        <v>24</v>
      </c>
    </row>
    <row r="452" spans="1:25" x14ac:dyDescent="0.35">
      <c r="A452" s="1" t="s">
        <v>1433</v>
      </c>
      <c r="B452" s="1" t="s">
        <v>1434</v>
      </c>
      <c r="C452" s="1" t="s">
        <v>1273</v>
      </c>
      <c r="D452" s="1" t="s">
        <v>1274</v>
      </c>
      <c r="E452" s="2" t="s">
        <v>2342</v>
      </c>
      <c r="F452" s="2" t="s">
        <v>1911</v>
      </c>
      <c r="G452" s="6">
        <v>7000</v>
      </c>
      <c r="H452" s="8">
        <f t="shared" ref="H452:H515" si="16">+G452/(1+I452/100)</f>
        <v>6034.4827586206902</v>
      </c>
      <c r="I452" s="2">
        <v>16</v>
      </c>
      <c r="J452" s="2">
        <f t="shared" si="15"/>
        <v>0.70008862857142862</v>
      </c>
      <c r="K452" t="s">
        <v>1435</v>
      </c>
      <c r="L452">
        <v>1</v>
      </c>
      <c r="M452">
        <v>1809.81</v>
      </c>
      <c r="N452">
        <v>1809.81</v>
      </c>
      <c r="O452">
        <v>0</v>
      </c>
      <c r="P452">
        <v>1809.81</v>
      </c>
      <c r="Q452">
        <v>1</v>
      </c>
      <c r="R452">
        <v>1809.81</v>
      </c>
      <c r="S452" t="s">
        <v>24</v>
      </c>
      <c r="T452" t="s">
        <v>24</v>
      </c>
      <c r="U452" t="s">
        <v>24</v>
      </c>
      <c r="V452" t="s">
        <v>25</v>
      </c>
      <c r="W452" t="s">
        <v>1435</v>
      </c>
      <c r="X452" t="s">
        <v>26</v>
      </c>
      <c r="Y452" t="s">
        <v>24</v>
      </c>
    </row>
    <row r="453" spans="1:25" x14ac:dyDescent="0.35">
      <c r="A453" s="1" t="s">
        <v>1436</v>
      </c>
      <c r="B453" s="1" t="s">
        <v>1437</v>
      </c>
      <c r="C453" s="1" t="s">
        <v>392</v>
      </c>
      <c r="D453" s="1" t="s">
        <v>393</v>
      </c>
      <c r="E453" s="2" t="s">
        <v>2343</v>
      </c>
      <c r="F453" s="2" t="s">
        <v>1911</v>
      </c>
      <c r="G453" s="6">
        <v>8180</v>
      </c>
      <c r="H453" s="8">
        <f t="shared" si="16"/>
        <v>7051.7241379310353</v>
      </c>
      <c r="I453" s="2">
        <v>16</v>
      </c>
      <c r="J453" s="2">
        <f t="shared" si="15"/>
        <v>0.5996723716381418</v>
      </c>
      <c r="K453" t="s">
        <v>1438</v>
      </c>
      <c r="L453">
        <v>1</v>
      </c>
      <c r="M453">
        <v>2823</v>
      </c>
      <c r="N453">
        <v>2823</v>
      </c>
      <c r="O453">
        <v>0</v>
      </c>
      <c r="P453">
        <v>2823</v>
      </c>
      <c r="Q453">
        <v>1</v>
      </c>
      <c r="R453">
        <v>2823</v>
      </c>
      <c r="S453" t="s">
        <v>24</v>
      </c>
      <c r="T453" t="s">
        <v>24</v>
      </c>
      <c r="U453" t="s">
        <v>24</v>
      </c>
      <c r="V453" t="s">
        <v>25</v>
      </c>
      <c r="W453" t="s">
        <v>1438</v>
      </c>
      <c r="X453" t="s">
        <v>26</v>
      </c>
      <c r="Y453" t="s">
        <v>24</v>
      </c>
    </row>
    <row r="454" spans="1:25" x14ac:dyDescent="0.35">
      <c r="A454" s="1" t="s">
        <v>1439</v>
      </c>
      <c r="B454" s="1" t="s">
        <v>1440</v>
      </c>
      <c r="C454" s="1" t="s">
        <v>392</v>
      </c>
      <c r="D454" s="1" t="s">
        <v>393</v>
      </c>
      <c r="E454" s="2" t="s">
        <v>2344</v>
      </c>
      <c r="F454" s="2" t="s">
        <v>1911</v>
      </c>
      <c r="G454" s="6">
        <v>7200</v>
      </c>
      <c r="H454" s="8">
        <f t="shared" si="16"/>
        <v>6206.8965517241386</v>
      </c>
      <c r="I454" s="2">
        <v>16</v>
      </c>
      <c r="J454" s="2">
        <f t="shared" si="15"/>
        <v>0.69965505555555563</v>
      </c>
      <c r="K454" t="s">
        <v>1441</v>
      </c>
      <c r="L454">
        <v>4</v>
      </c>
      <c r="M454">
        <v>1864.21</v>
      </c>
      <c r="N454">
        <v>1864.21</v>
      </c>
      <c r="O454">
        <v>0</v>
      </c>
      <c r="P454">
        <v>7456.84</v>
      </c>
      <c r="Q454">
        <v>4</v>
      </c>
      <c r="R454">
        <v>7456.84</v>
      </c>
      <c r="S454" t="s">
        <v>24</v>
      </c>
      <c r="T454" t="s">
        <v>24</v>
      </c>
      <c r="U454" t="s">
        <v>24</v>
      </c>
      <c r="V454" t="s">
        <v>25</v>
      </c>
      <c r="W454" t="s">
        <v>1441</v>
      </c>
      <c r="X454" t="s">
        <v>26</v>
      </c>
      <c r="Y454" t="s">
        <v>24</v>
      </c>
    </row>
    <row r="455" spans="1:25" x14ac:dyDescent="0.35">
      <c r="A455" s="1" t="s">
        <v>1439</v>
      </c>
      <c r="B455" s="1" t="s">
        <v>1440</v>
      </c>
      <c r="C455" s="1" t="s">
        <v>1273</v>
      </c>
      <c r="D455" s="1" t="s">
        <v>1274</v>
      </c>
      <c r="E455" s="2" t="s">
        <v>2344</v>
      </c>
      <c r="F455" s="2" t="s">
        <v>1911</v>
      </c>
      <c r="G455" s="6">
        <v>7200</v>
      </c>
      <c r="H455" s="8">
        <f t="shared" si="16"/>
        <v>6206.8965517241386</v>
      </c>
      <c r="I455" s="2">
        <v>16</v>
      </c>
      <c r="J455" s="2">
        <f t="shared" si="15"/>
        <v>0.69965505555555563</v>
      </c>
      <c r="K455" t="s">
        <v>1442</v>
      </c>
      <c r="L455">
        <v>1</v>
      </c>
      <c r="M455">
        <v>1864.21</v>
      </c>
      <c r="N455">
        <v>1864.21</v>
      </c>
      <c r="O455">
        <v>0</v>
      </c>
      <c r="P455">
        <v>1864.21</v>
      </c>
      <c r="Q455">
        <v>1</v>
      </c>
      <c r="R455">
        <v>1864.21</v>
      </c>
      <c r="S455" t="s">
        <v>24</v>
      </c>
      <c r="T455" t="s">
        <v>24</v>
      </c>
      <c r="U455" t="s">
        <v>24</v>
      </c>
      <c r="V455" t="s">
        <v>25</v>
      </c>
      <c r="W455" t="s">
        <v>1442</v>
      </c>
      <c r="X455" t="s">
        <v>26</v>
      </c>
      <c r="Y455" t="s">
        <v>24</v>
      </c>
    </row>
    <row r="456" spans="1:25" x14ac:dyDescent="0.35">
      <c r="A456" s="1" t="s">
        <v>1443</v>
      </c>
      <c r="B456" s="1" t="s">
        <v>1444</v>
      </c>
      <c r="C456" s="1" t="s">
        <v>392</v>
      </c>
      <c r="D456" s="1" t="s">
        <v>393</v>
      </c>
      <c r="E456" s="2" t="s">
        <v>2345</v>
      </c>
      <c r="F456" s="2" t="s">
        <v>1911</v>
      </c>
      <c r="G456" s="6">
        <v>5980</v>
      </c>
      <c r="H456" s="8">
        <f t="shared" si="16"/>
        <v>5155.1724137931042</v>
      </c>
      <c r="I456" s="2">
        <v>16</v>
      </c>
      <c r="J456" s="2">
        <f t="shared" si="15"/>
        <v>0.59220956521739132</v>
      </c>
      <c r="K456" t="s">
        <v>1445</v>
      </c>
      <c r="L456">
        <v>2</v>
      </c>
      <c r="M456">
        <v>2102.23</v>
      </c>
      <c r="N456">
        <v>2102.23</v>
      </c>
      <c r="O456">
        <v>0</v>
      </c>
      <c r="P456">
        <v>4204.46</v>
      </c>
      <c r="Q456">
        <v>2</v>
      </c>
      <c r="R456">
        <v>4204.46</v>
      </c>
      <c r="S456" t="s">
        <v>24</v>
      </c>
      <c r="T456" t="s">
        <v>24</v>
      </c>
      <c r="U456" t="s">
        <v>24</v>
      </c>
      <c r="V456" t="s">
        <v>25</v>
      </c>
      <c r="W456" t="s">
        <v>1445</v>
      </c>
      <c r="X456" t="s">
        <v>26</v>
      </c>
      <c r="Y456" t="s">
        <v>24</v>
      </c>
    </row>
    <row r="457" spans="1:25" x14ac:dyDescent="0.35">
      <c r="A457" s="1" t="s">
        <v>1443</v>
      </c>
      <c r="B457" s="1" t="s">
        <v>1444</v>
      </c>
      <c r="C457" s="1" t="s">
        <v>1273</v>
      </c>
      <c r="D457" s="1" t="s">
        <v>1274</v>
      </c>
      <c r="E457" s="2" t="s">
        <v>2345</v>
      </c>
      <c r="F457" s="2" t="s">
        <v>1911</v>
      </c>
      <c r="G457" s="6">
        <v>5980</v>
      </c>
      <c r="H457" s="8">
        <f t="shared" si="16"/>
        <v>5155.1724137931042</v>
      </c>
      <c r="I457" s="2">
        <v>16</v>
      </c>
      <c r="J457" s="2">
        <f t="shared" si="15"/>
        <v>0.59220956521739132</v>
      </c>
      <c r="K457" t="s">
        <v>1446</v>
      </c>
      <c r="L457">
        <v>1</v>
      </c>
      <c r="M457">
        <v>2102.23</v>
      </c>
      <c r="N457">
        <v>2102.23</v>
      </c>
      <c r="O457">
        <v>0</v>
      </c>
      <c r="P457">
        <v>2102.23</v>
      </c>
      <c r="Q457">
        <v>1</v>
      </c>
      <c r="R457">
        <v>2102.23</v>
      </c>
      <c r="S457" t="s">
        <v>24</v>
      </c>
      <c r="T457" t="s">
        <v>24</v>
      </c>
      <c r="U457" t="s">
        <v>24</v>
      </c>
      <c r="V457" t="s">
        <v>25</v>
      </c>
      <c r="W457" t="s">
        <v>1446</v>
      </c>
      <c r="X457" t="s">
        <v>26</v>
      </c>
      <c r="Y457" t="s">
        <v>24</v>
      </c>
    </row>
    <row r="458" spans="1:25" x14ac:dyDescent="0.35">
      <c r="A458" s="1" t="s">
        <v>1447</v>
      </c>
      <c r="B458" s="1" t="s">
        <v>1448</v>
      </c>
      <c r="C458" s="1" t="s">
        <v>265</v>
      </c>
      <c r="D458" s="1" t="s">
        <v>266</v>
      </c>
      <c r="E458" s="2" t="s">
        <v>2346</v>
      </c>
      <c r="F458" s="2" t="s">
        <v>1975</v>
      </c>
      <c r="G458" s="6">
        <v>580</v>
      </c>
      <c r="H458" s="8">
        <f t="shared" si="16"/>
        <v>500.00000000000006</v>
      </c>
      <c r="I458" s="2">
        <v>16</v>
      </c>
      <c r="J458" s="2">
        <f t="shared" si="15"/>
        <v>0.7</v>
      </c>
      <c r="K458" t="s">
        <v>1449</v>
      </c>
      <c r="L458">
        <v>2</v>
      </c>
      <c r="M458">
        <v>150</v>
      </c>
      <c r="N458">
        <v>150</v>
      </c>
      <c r="O458">
        <v>0</v>
      </c>
      <c r="P458">
        <v>300</v>
      </c>
      <c r="Q458">
        <v>2</v>
      </c>
      <c r="R458">
        <v>300</v>
      </c>
      <c r="S458" t="s">
        <v>24</v>
      </c>
      <c r="T458" t="s">
        <v>24</v>
      </c>
      <c r="U458" t="s">
        <v>24</v>
      </c>
      <c r="V458" t="s">
        <v>25</v>
      </c>
      <c r="W458" t="s">
        <v>1449</v>
      </c>
      <c r="X458" t="s">
        <v>26</v>
      </c>
      <c r="Y458" t="s">
        <v>24</v>
      </c>
    </row>
    <row r="459" spans="1:25" x14ac:dyDescent="0.35">
      <c r="A459" s="1" t="s">
        <v>1450</v>
      </c>
      <c r="B459" s="1" t="s">
        <v>1451</v>
      </c>
      <c r="C459" s="1" t="s">
        <v>265</v>
      </c>
      <c r="D459" s="1" t="s">
        <v>266</v>
      </c>
      <c r="E459" s="2" t="s">
        <v>2347</v>
      </c>
      <c r="F459" s="2" t="s">
        <v>1975</v>
      </c>
      <c r="G459" s="6">
        <v>580</v>
      </c>
      <c r="H459" s="8">
        <f t="shared" si="16"/>
        <v>500.00000000000006</v>
      </c>
      <c r="I459" s="2">
        <v>16</v>
      </c>
      <c r="J459" s="2">
        <f t="shared" si="15"/>
        <v>0.7</v>
      </c>
      <c r="K459" t="s">
        <v>1452</v>
      </c>
      <c r="L459">
        <v>1</v>
      </c>
      <c r="M459">
        <v>150</v>
      </c>
      <c r="N459">
        <v>150</v>
      </c>
      <c r="O459">
        <v>0</v>
      </c>
      <c r="P459">
        <v>150</v>
      </c>
      <c r="Q459">
        <v>1</v>
      </c>
      <c r="R459">
        <v>150</v>
      </c>
      <c r="S459" t="s">
        <v>24</v>
      </c>
      <c r="T459" t="s">
        <v>24</v>
      </c>
      <c r="U459" t="s">
        <v>24</v>
      </c>
      <c r="V459" t="s">
        <v>25</v>
      </c>
      <c r="W459" t="s">
        <v>1452</v>
      </c>
      <c r="X459" t="s">
        <v>26</v>
      </c>
      <c r="Y459" t="s">
        <v>24</v>
      </c>
    </row>
    <row r="460" spans="1:25" x14ac:dyDescent="0.35">
      <c r="A460" s="1" t="s">
        <v>1453</v>
      </c>
      <c r="B460" s="1" t="s">
        <v>1454</v>
      </c>
      <c r="C460" s="1" t="s">
        <v>265</v>
      </c>
      <c r="D460" s="1" t="s">
        <v>266</v>
      </c>
      <c r="E460" s="2" t="s">
        <v>2348</v>
      </c>
      <c r="F460" s="2" t="s">
        <v>1975</v>
      </c>
      <c r="G460" s="6">
        <v>580</v>
      </c>
      <c r="H460" s="8">
        <f t="shared" si="16"/>
        <v>500.00000000000006</v>
      </c>
      <c r="I460" s="2">
        <v>16</v>
      </c>
      <c r="J460" s="2">
        <f t="shared" si="15"/>
        <v>0.7</v>
      </c>
      <c r="K460" t="s">
        <v>1455</v>
      </c>
      <c r="L460">
        <v>1</v>
      </c>
      <c r="M460">
        <v>150</v>
      </c>
      <c r="N460">
        <v>150</v>
      </c>
      <c r="O460">
        <v>0</v>
      </c>
      <c r="P460">
        <v>150</v>
      </c>
      <c r="Q460">
        <v>1</v>
      </c>
      <c r="R460">
        <v>150</v>
      </c>
      <c r="S460" t="s">
        <v>24</v>
      </c>
      <c r="T460" t="s">
        <v>24</v>
      </c>
      <c r="U460" t="s">
        <v>24</v>
      </c>
      <c r="V460" t="s">
        <v>25</v>
      </c>
      <c r="W460" t="s">
        <v>1455</v>
      </c>
      <c r="X460" t="s">
        <v>26</v>
      </c>
      <c r="Y460" t="s">
        <v>24</v>
      </c>
    </row>
    <row r="461" spans="1:25" x14ac:dyDescent="0.35">
      <c r="A461" s="1" t="s">
        <v>1456</v>
      </c>
      <c r="B461" s="1" t="s">
        <v>1457</v>
      </c>
      <c r="C461" s="1" t="s">
        <v>265</v>
      </c>
      <c r="D461" s="1" t="s">
        <v>266</v>
      </c>
      <c r="E461" s="2" t="s">
        <v>2349</v>
      </c>
      <c r="F461" s="2" t="s">
        <v>1975</v>
      </c>
      <c r="G461" s="6">
        <v>580</v>
      </c>
      <c r="H461" s="8">
        <f t="shared" si="16"/>
        <v>500.00000000000006</v>
      </c>
      <c r="I461" s="2">
        <v>16</v>
      </c>
      <c r="J461" s="2">
        <f t="shared" si="15"/>
        <v>0.7</v>
      </c>
      <c r="K461" t="s">
        <v>1458</v>
      </c>
      <c r="L461">
        <v>2</v>
      </c>
      <c r="M461">
        <v>150</v>
      </c>
      <c r="N461">
        <v>150</v>
      </c>
      <c r="O461">
        <v>0</v>
      </c>
      <c r="P461">
        <v>300</v>
      </c>
      <c r="Q461">
        <v>2</v>
      </c>
      <c r="R461">
        <v>300</v>
      </c>
      <c r="S461" t="s">
        <v>24</v>
      </c>
      <c r="T461" t="s">
        <v>24</v>
      </c>
      <c r="U461" t="s">
        <v>24</v>
      </c>
      <c r="V461" t="s">
        <v>25</v>
      </c>
      <c r="W461" t="s">
        <v>1458</v>
      </c>
      <c r="X461" t="s">
        <v>26</v>
      </c>
      <c r="Y461" t="s">
        <v>24</v>
      </c>
    </row>
    <row r="462" spans="1:25" x14ac:dyDescent="0.35">
      <c r="A462" s="1" t="s">
        <v>1459</v>
      </c>
      <c r="B462" s="1" t="s">
        <v>1460</v>
      </c>
      <c r="C462" s="1" t="s">
        <v>265</v>
      </c>
      <c r="D462" s="1" t="s">
        <v>266</v>
      </c>
      <c r="E462" s="2" t="s">
        <v>2350</v>
      </c>
      <c r="F462" s="2" t="s">
        <v>1975</v>
      </c>
      <c r="G462" s="6">
        <v>580</v>
      </c>
      <c r="H462" s="8">
        <f t="shared" si="16"/>
        <v>500.00000000000006</v>
      </c>
      <c r="I462" s="2">
        <v>16</v>
      </c>
      <c r="J462" s="2">
        <f t="shared" si="15"/>
        <v>0.7</v>
      </c>
      <c r="K462" t="s">
        <v>1461</v>
      </c>
      <c r="L462">
        <v>2</v>
      </c>
      <c r="M462">
        <v>150</v>
      </c>
      <c r="N462">
        <v>150</v>
      </c>
      <c r="O462">
        <v>0</v>
      </c>
      <c r="P462">
        <v>300</v>
      </c>
      <c r="Q462">
        <v>2</v>
      </c>
      <c r="R462">
        <v>300</v>
      </c>
      <c r="S462" t="s">
        <v>24</v>
      </c>
      <c r="T462" t="s">
        <v>24</v>
      </c>
      <c r="U462" t="s">
        <v>24</v>
      </c>
      <c r="V462" t="s">
        <v>25</v>
      </c>
      <c r="W462" t="s">
        <v>1461</v>
      </c>
      <c r="X462" t="s">
        <v>26</v>
      </c>
      <c r="Y462" t="s">
        <v>24</v>
      </c>
    </row>
    <row r="463" spans="1:25" x14ac:dyDescent="0.35">
      <c r="A463" s="1" t="s">
        <v>1462</v>
      </c>
      <c r="B463" s="1" t="s">
        <v>1463</v>
      </c>
      <c r="C463" s="1" t="s">
        <v>265</v>
      </c>
      <c r="D463" s="1" t="s">
        <v>266</v>
      </c>
      <c r="E463" s="2" t="s">
        <v>2351</v>
      </c>
      <c r="F463" s="2" t="s">
        <v>1975</v>
      </c>
      <c r="G463" s="6">
        <v>580</v>
      </c>
      <c r="H463" s="8">
        <f t="shared" si="16"/>
        <v>500.00000000000006</v>
      </c>
      <c r="I463" s="2">
        <v>16</v>
      </c>
      <c r="J463" s="2">
        <f t="shared" si="15"/>
        <v>0.7</v>
      </c>
      <c r="K463" t="s">
        <v>1464</v>
      </c>
      <c r="L463">
        <v>2</v>
      </c>
      <c r="M463">
        <v>150</v>
      </c>
      <c r="N463">
        <v>150</v>
      </c>
      <c r="O463">
        <v>0</v>
      </c>
      <c r="P463">
        <v>300</v>
      </c>
      <c r="Q463">
        <v>2</v>
      </c>
      <c r="R463">
        <v>300</v>
      </c>
      <c r="S463" t="s">
        <v>24</v>
      </c>
      <c r="T463" t="s">
        <v>24</v>
      </c>
      <c r="U463" t="s">
        <v>24</v>
      </c>
      <c r="V463" t="s">
        <v>25</v>
      </c>
      <c r="W463" t="s">
        <v>1464</v>
      </c>
      <c r="X463" t="s">
        <v>26</v>
      </c>
      <c r="Y463" t="s">
        <v>24</v>
      </c>
    </row>
    <row r="464" spans="1:25" x14ac:dyDescent="0.35">
      <c r="A464" s="1" t="s">
        <v>1465</v>
      </c>
      <c r="B464" s="1" t="s">
        <v>1466</v>
      </c>
      <c r="C464" s="1" t="s">
        <v>265</v>
      </c>
      <c r="D464" s="1" t="s">
        <v>266</v>
      </c>
      <c r="E464" s="2" t="s">
        <v>2352</v>
      </c>
      <c r="F464" s="2" t="s">
        <v>1975</v>
      </c>
      <c r="G464" s="6">
        <v>580</v>
      </c>
      <c r="H464" s="8">
        <f t="shared" si="16"/>
        <v>500.00000000000006</v>
      </c>
      <c r="I464" s="2">
        <v>16</v>
      </c>
      <c r="J464" s="2">
        <f t="shared" si="15"/>
        <v>0.7</v>
      </c>
      <c r="K464" t="s">
        <v>1467</v>
      </c>
      <c r="L464">
        <v>2</v>
      </c>
      <c r="M464">
        <v>150</v>
      </c>
      <c r="N464">
        <v>150</v>
      </c>
      <c r="O464">
        <v>0</v>
      </c>
      <c r="P464">
        <v>300</v>
      </c>
      <c r="Q464">
        <v>2</v>
      </c>
      <c r="R464">
        <v>300</v>
      </c>
      <c r="S464" t="s">
        <v>24</v>
      </c>
      <c r="T464" t="s">
        <v>24</v>
      </c>
      <c r="U464" t="s">
        <v>24</v>
      </c>
      <c r="V464" t="s">
        <v>25</v>
      </c>
      <c r="W464" t="s">
        <v>1467</v>
      </c>
      <c r="X464" t="s">
        <v>26</v>
      </c>
      <c r="Y464" t="s">
        <v>24</v>
      </c>
    </row>
    <row r="465" spans="1:25" x14ac:dyDescent="0.35">
      <c r="A465" s="1" t="s">
        <v>1468</v>
      </c>
      <c r="B465" s="1" t="s">
        <v>1469</v>
      </c>
      <c r="C465" s="1" t="s">
        <v>696</v>
      </c>
      <c r="D465" s="1" t="s">
        <v>697</v>
      </c>
      <c r="E465" s="2" t="s">
        <v>2353</v>
      </c>
      <c r="F465" s="2" t="s">
        <v>2082</v>
      </c>
      <c r="G465" s="6">
        <v>60</v>
      </c>
      <c r="H465" s="8">
        <f t="shared" si="16"/>
        <v>55.55555555555555</v>
      </c>
      <c r="I465" s="2">
        <v>8</v>
      </c>
      <c r="J465" s="2">
        <f t="shared" si="15"/>
        <v>0.74313999999999991</v>
      </c>
      <c r="K465" t="s">
        <v>1470</v>
      </c>
      <c r="L465">
        <v>13</v>
      </c>
      <c r="M465">
        <v>14.27</v>
      </c>
      <c r="N465">
        <v>14.27</v>
      </c>
      <c r="O465">
        <v>0</v>
      </c>
      <c r="P465">
        <v>185.51</v>
      </c>
      <c r="Q465">
        <v>13</v>
      </c>
      <c r="R465">
        <v>185.51</v>
      </c>
      <c r="S465" t="s">
        <v>24</v>
      </c>
      <c r="T465" t="s">
        <v>24</v>
      </c>
      <c r="U465" t="s">
        <v>24</v>
      </c>
      <c r="V465" t="s">
        <v>25</v>
      </c>
      <c r="W465" t="s">
        <v>1470</v>
      </c>
      <c r="X465" t="s">
        <v>26</v>
      </c>
      <c r="Y465" t="s">
        <v>24</v>
      </c>
    </row>
    <row r="466" spans="1:25" x14ac:dyDescent="0.35">
      <c r="A466" s="1" t="s">
        <v>1471</v>
      </c>
      <c r="B466" s="1" t="s">
        <v>1472</v>
      </c>
      <c r="C466" s="1" t="s">
        <v>696</v>
      </c>
      <c r="D466" s="1" t="s">
        <v>697</v>
      </c>
      <c r="E466" s="2" t="s">
        <v>2354</v>
      </c>
      <c r="F466" s="2" t="s">
        <v>2082</v>
      </c>
      <c r="G466" s="6">
        <v>60</v>
      </c>
      <c r="H466" s="8">
        <f t="shared" si="16"/>
        <v>55.55555555555555</v>
      </c>
      <c r="I466" s="2">
        <v>8</v>
      </c>
      <c r="J466" s="2">
        <f t="shared" si="15"/>
        <v>0.74313999999999991</v>
      </c>
      <c r="K466" t="s">
        <v>1473</v>
      </c>
      <c r="L466">
        <v>5</v>
      </c>
      <c r="M466">
        <v>14.27</v>
      </c>
      <c r="N466">
        <v>14.27</v>
      </c>
      <c r="O466">
        <v>0</v>
      </c>
      <c r="P466">
        <v>71.349999999999994</v>
      </c>
      <c r="Q466">
        <v>5</v>
      </c>
      <c r="R466">
        <v>71.349999999999994</v>
      </c>
      <c r="S466" t="s">
        <v>24</v>
      </c>
      <c r="T466" t="s">
        <v>24</v>
      </c>
      <c r="U466" t="s">
        <v>24</v>
      </c>
      <c r="V466" t="s">
        <v>25</v>
      </c>
      <c r="W466" t="s">
        <v>1473</v>
      </c>
      <c r="X466" t="s">
        <v>26</v>
      </c>
      <c r="Y466" t="s">
        <v>24</v>
      </c>
    </row>
    <row r="467" spans="1:25" x14ac:dyDescent="0.35">
      <c r="A467" s="1" t="s">
        <v>1474</v>
      </c>
      <c r="B467" s="1" t="s">
        <v>1475</v>
      </c>
      <c r="C467" s="1" t="s">
        <v>696</v>
      </c>
      <c r="D467" s="1" t="s">
        <v>697</v>
      </c>
      <c r="E467" s="2" t="s">
        <v>2355</v>
      </c>
      <c r="F467" s="2" t="s">
        <v>2082</v>
      </c>
      <c r="G467" s="6">
        <v>40</v>
      </c>
      <c r="H467" s="8">
        <f t="shared" si="16"/>
        <v>37.037037037037038</v>
      </c>
      <c r="I467" s="2">
        <v>8</v>
      </c>
      <c r="J467" s="2">
        <f t="shared" si="15"/>
        <v>0.61471000000000009</v>
      </c>
      <c r="K467" t="s">
        <v>1476</v>
      </c>
      <c r="L467">
        <v>8</v>
      </c>
      <c r="M467">
        <v>14.27</v>
      </c>
      <c r="N467">
        <v>14.27</v>
      </c>
      <c r="O467">
        <v>0</v>
      </c>
      <c r="P467">
        <v>99.89</v>
      </c>
      <c r="Q467">
        <v>7</v>
      </c>
      <c r="R467">
        <v>99.89</v>
      </c>
      <c r="S467" t="s">
        <v>24</v>
      </c>
      <c r="T467" t="s">
        <v>24</v>
      </c>
      <c r="U467" t="s">
        <v>24</v>
      </c>
      <c r="V467" t="s">
        <v>25</v>
      </c>
      <c r="W467" t="s">
        <v>1476</v>
      </c>
      <c r="X467" t="s">
        <v>26</v>
      </c>
      <c r="Y467" t="s">
        <v>24</v>
      </c>
    </row>
    <row r="468" spans="1:25" x14ac:dyDescent="0.35">
      <c r="A468" s="1" t="s">
        <v>1477</v>
      </c>
      <c r="B468" s="1" t="s">
        <v>1478</v>
      </c>
      <c r="C468" s="1" t="s">
        <v>696</v>
      </c>
      <c r="D468" s="1" t="s">
        <v>697</v>
      </c>
      <c r="E468" s="2" t="s">
        <v>2356</v>
      </c>
      <c r="F468" s="2" t="s">
        <v>2082</v>
      </c>
      <c r="G468" s="6">
        <v>40</v>
      </c>
      <c r="H468" s="8">
        <f t="shared" si="16"/>
        <v>37.037037037037038</v>
      </c>
      <c r="I468" s="2">
        <v>8</v>
      </c>
      <c r="J468" s="2">
        <f t="shared" si="15"/>
        <v>0.70030000000000003</v>
      </c>
      <c r="K468" t="s">
        <v>1479</v>
      </c>
      <c r="L468">
        <v>5</v>
      </c>
      <c r="M468">
        <v>11.1</v>
      </c>
      <c r="N468">
        <v>11.1</v>
      </c>
      <c r="O468">
        <v>0</v>
      </c>
      <c r="P468">
        <v>55.5</v>
      </c>
      <c r="Q468">
        <v>5</v>
      </c>
      <c r="R468">
        <v>55.5</v>
      </c>
      <c r="S468" t="s">
        <v>24</v>
      </c>
      <c r="T468" t="s">
        <v>24</v>
      </c>
      <c r="U468" t="s">
        <v>24</v>
      </c>
      <c r="V468" t="s">
        <v>25</v>
      </c>
      <c r="W468" t="s">
        <v>1479</v>
      </c>
      <c r="X468" t="s">
        <v>26</v>
      </c>
      <c r="Y468" t="s">
        <v>24</v>
      </c>
    </row>
    <row r="469" spans="1:25" x14ac:dyDescent="0.35">
      <c r="A469" s="1" t="s">
        <v>1480</v>
      </c>
      <c r="B469" s="1" t="s">
        <v>1481</v>
      </c>
      <c r="C469" s="1" t="s">
        <v>295</v>
      </c>
      <c r="D469" s="1" t="s">
        <v>296</v>
      </c>
      <c r="E469" s="2" t="s">
        <v>2357</v>
      </c>
      <c r="F469" s="2" t="s">
        <v>1913</v>
      </c>
      <c r="G469" s="6">
        <v>500</v>
      </c>
      <c r="H469" s="8">
        <f t="shared" si="16"/>
        <v>431.0344827586207</v>
      </c>
      <c r="I469" s="2">
        <v>16</v>
      </c>
      <c r="J469" s="2">
        <f t="shared" si="15"/>
        <v>0.83852800000000005</v>
      </c>
      <c r="K469" t="s">
        <v>1482</v>
      </c>
      <c r="L469">
        <v>6</v>
      </c>
      <c r="M469">
        <v>69.599999999999994</v>
      </c>
      <c r="N469">
        <v>69.599999999999994</v>
      </c>
      <c r="O469">
        <v>0</v>
      </c>
      <c r="P469">
        <v>417.6</v>
      </c>
      <c r="Q469">
        <v>6</v>
      </c>
      <c r="R469">
        <v>417.6</v>
      </c>
      <c r="S469" t="s">
        <v>24</v>
      </c>
      <c r="T469" t="s">
        <v>24</v>
      </c>
      <c r="U469" t="s">
        <v>24</v>
      </c>
      <c r="V469" t="s">
        <v>25</v>
      </c>
      <c r="W469" t="s">
        <v>1482</v>
      </c>
      <c r="X469" t="s">
        <v>26</v>
      </c>
      <c r="Y469" t="s">
        <v>24</v>
      </c>
    </row>
    <row r="470" spans="1:25" x14ac:dyDescent="0.35">
      <c r="A470" s="1" t="s">
        <v>1483</v>
      </c>
      <c r="B470" s="1" t="s">
        <v>1484</v>
      </c>
      <c r="C470" s="1" t="s">
        <v>295</v>
      </c>
      <c r="D470" s="1" t="s">
        <v>296</v>
      </c>
      <c r="E470" s="2" t="s">
        <v>2358</v>
      </c>
      <c r="F470" s="2" t="s">
        <v>1913</v>
      </c>
      <c r="G470" s="6">
        <v>500</v>
      </c>
      <c r="H470" s="8">
        <f t="shared" si="16"/>
        <v>431.0344827586207</v>
      </c>
      <c r="I470" s="2">
        <v>16</v>
      </c>
      <c r="J470" s="2">
        <f t="shared" si="15"/>
        <v>0.83852800000000005</v>
      </c>
      <c r="K470" t="s">
        <v>1485</v>
      </c>
      <c r="L470">
        <v>4</v>
      </c>
      <c r="M470">
        <v>69.599999999999994</v>
      </c>
      <c r="N470">
        <v>69.599999999999994</v>
      </c>
      <c r="O470">
        <v>0</v>
      </c>
      <c r="P470">
        <v>278.39999999999998</v>
      </c>
      <c r="Q470">
        <v>4</v>
      </c>
      <c r="R470">
        <v>278.39999999999998</v>
      </c>
      <c r="S470" t="s">
        <v>24</v>
      </c>
      <c r="T470" t="s">
        <v>24</v>
      </c>
      <c r="U470" t="s">
        <v>24</v>
      </c>
      <c r="V470" t="s">
        <v>25</v>
      </c>
      <c r="W470" t="s">
        <v>1485</v>
      </c>
      <c r="X470" t="s">
        <v>26</v>
      </c>
      <c r="Y470" t="s">
        <v>24</v>
      </c>
    </row>
    <row r="471" spans="1:25" x14ac:dyDescent="0.35">
      <c r="A471" s="1" t="s">
        <v>1486</v>
      </c>
      <c r="B471" s="1" t="s">
        <v>1487</v>
      </c>
      <c r="C471" s="1" t="s">
        <v>295</v>
      </c>
      <c r="D471" s="1" t="s">
        <v>296</v>
      </c>
      <c r="E471" s="2" t="s">
        <v>2359</v>
      </c>
      <c r="F471" s="2" t="s">
        <v>1913</v>
      </c>
      <c r="G471" s="6">
        <v>500</v>
      </c>
      <c r="H471" s="8">
        <f t="shared" si="16"/>
        <v>431.0344827586207</v>
      </c>
      <c r="I471" s="2">
        <v>16</v>
      </c>
      <c r="J471" s="2">
        <f t="shared" si="15"/>
        <v>0.83852800000000005</v>
      </c>
      <c r="K471" t="s">
        <v>1488</v>
      </c>
      <c r="L471">
        <v>6</v>
      </c>
      <c r="M471">
        <v>69.599999999999994</v>
      </c>
      <c r="N471">
        <v>69.599999999999994</v>
      </c>
      <c r="O471">
        <v>0</v>
      </c>
      <c r="P471">
        <v>417.6</v>
      </c>
      <c r="Q471">
        <v>6</v>
      </c>
      <c r="R471">
        <v>417.6</v>
      </c>
      <c r="S471" t="s">
        <v>24</v>
      </c>
      <c r="T471" t="s">
        <v>24</v>
      </c>
      <c r="U471" t="s">
        <v>24</v>
      </c>
      <c r="V471" t="s">
        <v>25</v>
      </c>
      <c r="W471" t="s">
        <v>1488</v>
      </c>
      <c r="X471" t="s">
        <v>26</v>
      </c>
      <c r="Y471" t="s">
        <v>24</v>
      </c>
    </row>
    <row r="472" spans="1:25" x14ac:dyDescent="0.35">
      <c r="A472" s="1" t="s">
        <v>1489</v>
      </c>
      <c r="B472" s="1" t="s">
        <v>1490</v>
      </c>
      <c r="C472" s="1" t="s">
        <v>295</v>
      </c>
      <c r="D472" s="1" t="s">
        <v>296</v>
      </c>
      <c r="E472" s="2" t="s">
        <v>2360</v>
      </c>
      <c r="F472" s="2" t="s">
        <v>1913</v>
      </c>
      <c r="G472" s="6">
        <v>500</v>
      </c>
      <c r="H472" s="8">
        <f t="shared" si="16"/>
        <v>431.0344827586207</v>
      </c>
      <c r="I472" s="2">
        <v>16</v>
      </c>
      <c r="J472" s="2">
        <f t="shared" si="15"/>
        <v>0.83852800000000005</v>
      </c>
      <c r="K472" t="s">
        <v>1491</v>
      </c>
      <c r="L472">
        <v>3</v>
      </c>
      <c r="M472">
        <v>69.599999999999994</v>
      </c>
      <c r="N472">
        <v>69.599999999999994</v>
      </c>
      <c r="O472">
        <v>0</v>
      </c>
      <c r="P472">
        <v>208.8</v>
      </c>
      <c r="Q472">
        <v>3</v>
      </c>
      <c r="R472">
        <v>208.8</v>
      </c>
      <c r="S472" t="s">
        <v>24</v>
      </c>
      <c r="T472" t="s">
        <v>24</v>
      </c>
      <c r="U472" t="s">
        <v>24</v>
      </c>
      <c r="V472" t="s">
        <v>25</v>
      </c>
      <c r="W472" t="s">
        <v>1491</v>
      </c>
      <c r="X472" t="s">
        <v>26</v>
      </c>
      <c r="Y472" t="s">
        <v>24</v>
      </c>
    </row>
    <row r="473" spans="1:25" x14ac:dyDescent="0.35">
      <c r="A473" s="1" t="s">
        <v>1492</v>
      </c>
      <c r="B473" s="1" t="s">
        <v>1493</v>
      </c>
      <c r="C473" s="1" t="s">
        <v>295</v>
      </c>
      <c r="D473" s="1" t="s">
        <v>296</v>
      </c>
      <c r="E473" s="2" t="s">
        <v>2361</v>
      </c>
      <c r="F473" s="2" t="s">
        <v>1913</v>
      </c>
      <c r="G473" s="6">
        <v>440</v>
      </c>
      <c r="H473" s="8">
        <f t="shared" si="16"/>
        <v>379.31034482758622</v>
      </c>
      <c r="I473" s="2">
        <v>16</v>
      </c>
      <c r="J473" s="2">
        <f t="shared" si="15"/>
        <v>0.81650909090909096</v>
      </c>
      <c r="K473" t="s">
        <v>1494</v>
      </c>
      <c r="L473">
        <v>6</v>
      </c>
      <c r="M473">
        <v>69.599999999999994</v>
      </c>
      <c r="N473">
        <v>69.599999999999994</v>
      </c>
      <c r="O473">
        <v>0</v>
      </c>
      <c r="P473">
        <v>417.6</v>
      </c>
      <c r="Q473">
        <v>6</v>
      </c>
      <c r="R473">
        <v>417.6</v>
      </c>
      <c r="S473" t="s">
        <v>24</v>
      </c>
      <c r="T473" t="s">
        <v>24</v>
      </c>
      <c r="U473" t="s">
        <v>24</v>
      </c>
      <c r="V473" t="s">
        <v>25</v>
      </c>
      <c r="W473" t="s">
        <v>1494</v>
      </c>
      <c r="X473" t="s">
        <v>26</v>
      </c>
      <c r="Y473" t="s">
        <v>24</v>
      </c>
    </row>
    <row r="474" spans="1:25" x14ac:dyDescent="0.35">
      <c r="A474" s="1" t="s">
        <v>1495</v>
      </c>
      <c r="B474" s="1" t="s">
        <v>1496</v>
      </c>
      <c r="C474" s="1" t="s">
        <v>29</v>
      </c>
      <c r="D474" s="1" t="s">
        <v>30</v>
      </c>
      <c r="E474" s="2" t="s">
        <v>2362</v>
      </c>
      <c r="F474" s="2" t="s">
        <v>1913</v>
      </c>
      <c r="G474" s="6">
        <v>500</v>
      </c>
      <c r="H474" s="8">
        <f t="shared" si="16"/>
        <v>431.0344827586207</v>
      </c>
      <c r="I474" s="2">
        <v>16</v>
      </c>
      <c r="J474" s="2">
        <f t="shared" si="15"/>
        <v>0.86083990399999999</v>
      </c>
      <c r="K474" t="s">
        <v>1497</v>
      </c>
      <c r="L474">
        <v>3</v>
      </c>
      <c r="M474">
        <v>59.982799999999997</v>
      </c>
      <c r="N474">
        <v>59.982799999999997</v>
      </c>
      <c r="O474">
        <v>0</v>
      </c>
      <c r="P474">
        <v>179.94839999999999</v>
      </c>
      <c r="Q474">
        <v>3</v>
      </c>
      <c r="R474">
        <v>179.95</v>
      </c>
      <c r="S474" t="s">
        <v>24</v>
      </c>
      <c r="T474" t="s">
        <v>24</v>
      </c>
      <c r="U474" t="s">
        <v>24</v>
      </c>
      <c r="V474" t="s">
        <v>25</v>
      </c>
      <c r="W474" t="s">
        <v>1497</v>
      </c>
      <c r="X474" t="s">
        <v>26</v>
      </c>
      <c r="Y474" t="s">
        <v>24</v>
      </c>
    </row>
    <row r="475" spans="1:25" x14ac:dyDescent="0.35">
      <c r="A475" s="1" t="s">
        <v>1498</v>
      </c>
      <c r="B475" s="1" t="s">
        <v>1499</v>
      </c>
      <c r="C475" s="1" t="s">
        <v>29</v>
      </c>
      <c r="D475" s="1" t="s">
        <v>30</v>
      </c>
      <c r="E475" s="2" t="s">
        <v>2363</v>
      </c>
      <c r="F475" s="2" t="s">
        <v>1913</v>
      </c>
      <c r="G475" s="6">
        <v>500</v>
      </c>
      <c r="H475" s="8">
        <f t="shared" si="16"/>
        <v>431.0344827586207</v>
      </c>
      <c r="I475" s="2">
        <v>16</v>
      </c>
      <c r="J475" s="2">
        <f t="shared" si="15"/>
        <v>0.86083990399999999</v>
      </c>
      <c r="K475" t="s">
        <v>1500</v>
      </c>
      <c r="L475">
        <v>3</v>
      </c>
      <c r="M475">
        <v>59.982799999999997</v>
      </c>
      <c r="N475">
        <v>59.982799999999997</v>
      </c>
      <c r="O475">
        <v>0</v>
      </c>
      <c r="P475">
        <v>179.94839999999999</v>
      </c>
      <c r="Q475">
        <v>3</v>
      </c>
      <c r="R475">
        <v>179.95</v>
      </c>
      <c r="S475" t="s">
        <v>24</v>
      </c>
      <c r="T475" t="s">
        <v>24</v>
      </c>
      <c r="U475" t="s">
        <v>24</v>
      </c>
      <c r="V475" t="s">
        <v>25</v>
      </c>
      <c r="W475" t="s">
        <v>1500</v>
      </c>
      <c r="X475" t="s">
        <v>26</v>
      </c>
      <c r="Y475" t="s">
        <v>24</v>
      </c>
    </row>
    <row r="476" spans="1:25" x14ac:dyDescent="0.35">
      <c r="A476" s="1" t="s">
        <v>1501</v>
      </c>
      <c r="B476" s="1" t="s">
        <v>1502</v>
      </c>
      <c r="C476" s="1" t="s">
        <v>29</v>
      </c>
      <c r="D476" s="1" t="s">
        <v>30</v>
      </c>
      <c r="E476" s="2" t="s">
        <v>2364</v>
      </c>
      <c r="F476" s="2" t="s">
        <v>1913</v>
      </c>
      <c r="G476" s="6">
        <v>500</v>
      </c>
      <c r="H476" s="8">
        <f t="shared" si="16"/>
        <v>431.0344827586207</v>
      </c>
      <c r="I476" s="2">
        <v>16</v>
      </c>
      <c r="J476" s="2">
        <f t="shared" si="15"/>
        <v>0.83995990399999998</v>
      </c>
      <c r="K476" t="s">
        <v>1503</v>
      </c>
      <c r="L476">
        <v>3</v>
      </c>
      <c r="M476">
        <v>68.982799999999997</v>
      </c>
      <c r="N476">
        <v>68.982799999999997</v>
      </c>
      <c r="O476">
        <v>0</v>
      </c>
      <c r="P476">
        <v>206.94839999999999</v>
      </c>
      <c r="Q476">
        <v>3</v>
      </c>
      <c r="R476">
        <v>206.95</v>
      </c>
      <c r="S476" t="s">
        <v>24</v>
      </c>
      <c r="T476" t="s">
        <v>24</v>
      </c>
      <c r="U476" t="s">
        <v>24</v>
      </c>
      <c r="V476" t="s">
        <v>25</v>
      </c>
      <c r="W476" t="s">
        <v>1503</v>
      </c>
      <c r="X476" t="s">
        <v>26</v>
      </c>
      <c r="Y476" t="s">
        <v>24</v>
      </c>
    </row>
    <row r="477" spans="1:25" x14ac:dyDescent="0.35">
      <c r="A477" s="1" t="s">
        <v>1504</v>
      </c>
      <c r="B477" s="1" t="s">
        <v>1505</v>
      </c>
      <c r="C477" s="1" t="s">
        <v>77</v>
      </c>
      <c r="D477" s="1" t="s">
        <v>78</v>
      </c>
      <c r="E477" s="2" t="s">
        <v>2365</v>
      </c>
      <c r="F477" s="2" t="s">
        <v>1911</v>
      </c>
      <c r="G477" s="6">
        <v>2780</v>
      </c>
      <c r="H477" s="8">
        <f t="shared" si="16"/>
        <v>2396.5517241379312</v>
      </c>
      <c r="I477" s="2">
        <v>16</v>
      </c>
      <c r="J477" s="2">
        <f t="shared" si="15"/>
        <v>0.69956834532374101</v>
      </c>
      <c r="K477" t="s">
        <v>1506</v>
      </c>
      <c r="L477">
        <v>5</v>
      </c>
      <c r="M477">
        <v>720</v>
      </c>
      <c r="N477">
        <v>720</v>
      </c>
      <c r="O477">
        <v>0</v>
      </c>
      <c r="P477">
        <v>3600</v>
      </c>
      <c r="Q477">
        <v>5</v>
      </c>
      <c r="R477">
        <v>3600</v>
      </c>
      <c r="S477" t="s">
        <v>24</v>
      </c>
      <c r="T477" t="s">
        <v>24</v>
      </c>
      <c r="U477" t="s">
        <v>24</v>
      </c>
      <c r="V477" t="s">
        <v>25</v>
      </c>
      <c r="W477" t="s">
        <v>1506</v>
      </c>
      <c r="X477" t="s">
        <v>26</v>
      </c>
      <c r="Y477" t="s">
        <v>24</v>
      </c>
    </row>
    <row r="478" spans="1:25" x14ac:dyDescent="0.35">
      <c r="A478" s="1" t="s">
        <v>1507</v>
      </c>
      <c r="B478" s="1" t="s">
        <v>1508</v>
      </c>
      <c r="C478" s="1" t="s">
        <v>553</v>
      </c>
      <c r="D478" s="1" t="s">
        <v>554</v>
      </c>
      <c r="E478" s="2" t="s">
        <v>2366</v>
      </c>
      <c r="F478" s="2" t="s">
        <v>1913</v>
      </c>
      <c r="G478" s="6">
        <v>280</v>
      </c>
      <c r="H478" s="8">
        <f t="shared" si="16"/>
        <v>241.37931034482762</v>
      </c>
      <c r="I478" s="2">
        <v>16</v>
      </c>
      <c r="J478" s="2">
        <f t="shared" si="15"/>
        <v>0.70216999999999996</v>
      </c>
      <c r="K478" t="s">
        <v>1509</v>
      </c>
      <c r="L478">
        <v>1</v>
      </c>
      <c r="M478">
        <v>71.89</v>
      </c>
      <c r="N478">
        <v>0</v>
      </c>
      <c r="O478">
        <v>0</v>
      </c>
      <c r="P478">
        <v>71.89</v>
      </c>
      <c r="Q478">
        <v>1</v>
      </c>
      <c r="R478">
        <v>71.89</v>
      </c>
      <c r="S478" t="s">
        <v>24</v>
      </c>
      <c r="T478" t="s">
        <v>24</v>
      </c>
      <c r="U478" t="s">
        <v>24</v>
      </c>
      <c r="V478" t="s">
        <v>25</v>
      </c>
      <c r="W478" t="s">
        <v>1509</v>
      </c>
      <c r="X478" t="s">
        <v>26</v>
      </c>
      <c r="Y478" t="s">
        <v>24</v>
      </c>
    </row>
    <row r="479" spans="1:25" x14ac:dyDescent="0.35">
      <c r="A479" s="1" t="s">
        <v>1510</v>
      </c>
      <c r="B479" s="1" t="s">
        <v>1511</v>
      </c>
      <c r="C479" s="1" t="s">
        <v>34</v>
      </c>
      <c r="D479" s="1" t="s">
        <v>35</v>
      </c>
      <c r="E479" s="2" t="s">
        <v>2367</v>
      </c>
      <c r="F479" s="2" t="s">
        <v>1911</v>
      </c>
      <c r="G479" s="6">
        <v>10517.5</v>
      </c>
      <c r="H479" s="8">
        <f t="shared" si="16"/>
        <v>9066.810344827587</v>
      </c>
      <c r="I479" s="2">
        <v>16</v>
      </c>
      <c r="J479" s="2">
        <f t="shared" si="15"/>
        <v>0.73857856182552895</v>
      </c>
      <c r="K479" t="s">
        <v>1512</v>
      </c>
      <c r="L479">
        <v>1</v>
      </c>
      <c r="M479">
        <v>2370.2586000000001</v>
      </c>
      <c r="N479">
        <v>2370.2586000000001</v>
      </c>
      <c r="O479">
        <v>0</v>
      </c>
      <c r="P479">
        <v>2370.2586000000001</v>
      </c>
      <c r="Q479">
        <v>1</v>
      </c>
      <c r="R479">
        <v>2370.2600000000002</v>
      </c>
      <c r="S479" t="s">
        <v>24</v>
      </c>
      <c r="T479" t="s">
        <v>24</v>
      </c>
      <c r="U479" t="s">
        <v>24</v>
      </c>
      <c r="V479" t="s">
        <v>25</v>
      </c>
      <c r="W479" t="s">
        <v>1512</v>
      </c>
      <c r="X479" t="s">
        <v>26</v>
      </c>
      <c r="Y479" t="s">
        <v>24</v>
      </c>
    </row>
    <row r="480" spans="1:25" x14ac:dyDescent="0.35">
      <c r="A480" s="1" t="s">
        <v>1513</v>
      </c>
      <c r="B480" s="1" t="s">
        <v>1514</v>
      </c>
      <c r="C480" s="1" t="s">
        <v>21</v>
      </c>
      <c r="D480" s="1" t="s">
        <v>22</v>
      </c>
      <c r="E480" s="2" t="s">
        <v>2368</v>
      </c>
      <c r="F480" s="2" t="s">
        <v>1911</v>
      </c>
      <c r="G480" s="6">
        <v>3380</v>
      </c>
      <c r="H480" s="8">
        <f t="shared" si="16"/>
        <v>2913.7931034482763</v>
      </c>
      <c r="I480" s="2">
        <v>16</v>
      </c>
      <c r="J480" s="2">
        <f t="shared" si="15"/>
        <v>0.80437869822485208</v>
      </c>
      <c r="K480" t="s">
        <v>1515</v>
      </c>
      <c r="L480">
        <v>1</v>
      </c>
      <c r="M480">
        <v>570</v>
      </c>
      <c r="N480">
        <v>570</v>
      </c>
      <c r="O480">
        <v>0</v>
      </c>
      <c r="P480">
        <v>570</v>
      </c>
      <c r="Q480">
        <v>1</v>
      </c>
      <c r="R480">
        <v>570</v>
      </c>
      <c r="S480" t="s">
        <v>24</v>
      </c>
      <c r="T480" t="s">
        <v>24</v>
      </c>
      <c r="U480" t="s">
        <v>24</v>
      </c>
      <c r="V480" t="s">
        <v>25</v>
      </c>
      <c r="W480" t="s">
        <v>1515</v>
      </c>
      <c r="X480" t="s">
        <v>26</v>
      </c>
      <c r="Y480" t="s">
        <v>24</v>
      </c>
    </row>
    <row r="481" spans="1:25" x14ac:dyDescent="0.35">
      <c r="A481" s="1" t="s">
        <v>1516</v>
      </c>
      <c r="B481" s="1" t="s">
        <v>1517</v>
      </c>
      <c r="C481" s="1" t="s">
        <v>287</v>
      </c>
      <c r="D481" s="1" t="s">
        <v>288</v>
      </c>
      <c r="E481" s="2" t="s">
        <v>2369</v>
      </c>
      <c r="F481" s="2" t="s">
        <v>1975</v>
      </c>
      <c r="G481" s="6">
        <v>680</v>
      </c>
      <c r="H481" s="8">
        <f t="shared" si="16"/>
        <v>586.20689655172418</v>
      </c>
      <c r="I481" s="2">
        <v>16</v>
      </c>
      <c r="J481" s="2">
        <f t="shared" si="15"/>
        <v>0.57352941176470584</v>
      </c>
      <c r="K481" t="s">
        <v>1518</v>
      </c>
      <c r="L481">
        <v>2</v>
      </c>
      <c r="M481">
        <v>250</v>
      </c>
      <c r="N481">
        <v>0</v>
      </c>
      <c r="O481">
        <v>0</v>
      </c>
      <c r="P481">
        <v>500</v>
      </c>
      <c r="Q481">
        <v>2</v>
      </c>
      <c r="R481">
        <v>500</v>
      </c>
      <c r="S481" t="s">
        <v>24</v>
      </c>
      <c r="T481" t="s">
        <v>24</v>
      </c>
      <c r="U481" t="s">
        <v>24</v>
      </c>
      <c r="V481" t="s">
        <v>25</v>
      </c>
      <c r="W481" t="s">
        <v>1518</v>
      </c>
      <c r="X481" t="s">
        <v>26</v>
      </c>
      <c r="Y481" t="s">
        <v>24</v>
      </c>
    </row>
    <row r="482" spans="1:25" x14ac:dyDescent="0.35">
      <c r="A482" s="1" t="s">
        <v>1519</v>
      </c>
      <c r="B482" s="1" t="s">
        <v>1520</v>
      </c>
      <c r="C482" s="1" t="s">
        <v>938</v>
      </c>
      <c r="D482" s="1" t="s">
        <v>939</v>
      </c>
      <c r="E482" s="2" t="s">
        <v>2370</v>
      </c>
      <c r="F482" s="2" t="s">
        <v>1975</v>
      </c>
      <c r="G482" s="6">
        <v>780</v>
      </c>
      <c r="H482" s="8">
        <f t="shared" si="16"/>
        <v>672.41379310344837</v>
      </c>
      <c r="I482" s="2">
        <v>16</v>
      </c>
      <c r="J482" s="2">
        <f t="shared" si="15"/>
        <v>0.70256410256410262</v>
      </c>
      <c r="K482" t="s">
        <v>1521</v>
      </c>
      <c r="L482">
        <v>6</v>
      </c>
      <c r="M482">
        <v>200</v>
      </c>
      <c r="N482">
        <v>200</v>
      </c>
      <c r="O482">
        <v>0</v>
      </c>
      <c r="P482">
        <v>1200</v>
      </c>
      <c r="Q482">
        <v>6</v>
      </c>
      <c r="R482">
        <v>1200</v>
      </c>
      <c r="S482" t="s">
        <v>24</v>
      </c>
      <c r="T482" t="s">
        <v>24</v>
      </c>
      <c r="U482" t="s">
        <v>24</v>
      </c>
      <c r="V482" t="s">
        <v>25</v>
      </c>
      <c r="W482" t="s">
        <v>1521</v>
      </c>
      <c r="X482" t="s">
        <v>26</v>
      </c>
      <c r="Y482" t="s">
        <v>24</v>
      </c>
    </row>
    <row r="483" spans="1:25" x14ac:dyDescent="0.35">
      <c r="A483" s="1" t="s">
        <v>1522</v>
      </c>
      <c r="B483" s="1" t="s">
        <v>1523</v>
      </c>
      <c r="C483" s="1" t="s">
        <v>254</v>
      </c>
      <c r="D483" s="1" t="s">
        <v>255</v>
      </c>
      <c r="E483" s="2" t="s">
        <v>2371</v>
      </c>
      <c r="F483" s="2" t="s">
        <v>1975</v>
      </c>
      <c r="G483" s="6">
        <v>380</v>
      </c>
      <c r="H483" s="8">
        <f t="shared" si="16"/>
        <v>327.58620689655174</v>
      </c>
      <c r="I483" s="2">
        <v>16</v>
      </c>
      <c r="J483" s="2">
        <f t="shared" si="15"/>
        <v>0.72526315789473683</v>
      </c>
      <c r="K483" t="s">
        <v>1524</v>
      </c>
      <c r="L483">
        <v>2</v>
      </c>
      <c r="M483">
        <v>90</v>
      </c>
      <c r="N483">
        <v>90</v>
      </c>
      <c r="O483">
        <v>0</v>
      </c>
      <c r="P483">
        <v>180</v>
      </c>
      <c r="Q483">
        <v>2</v>
      </c>
      <c r="R483">
        <v>180</v>
      </c>
      <c r="S483" t="s">
        <v>24</v>
      </c>
      <c r="T483" t="s">
        <v>24</v>
      </c>
      <c r="U483" t="s">
        <v>24</v>
      </c>
      <c r="V483" t="s">
        <v>25</v>
      </c>
      <c r="W483" t="s">
        <v>1524</v>
      </c>
      <c r="X483" t="s">
        <v>26</v>
      </c>
      <c r="Y483" t="s">
        <v>24</v>
      </c>
    </row>
    <row r="484" spans="1:25" x14ac:dyDescent="0.35">
      <c r="A484" s="1" t="s">
        <v>290</v>
      </c>
      <c r="B484" s="1" t="s">
        <v>291</v>
      </c>
      <c r="C484" s="1" t="s">
        <v>29</v>
      </c>
      <c r="D484" s="1" t="s">
        <v>30</v>
      </c>
      <c r="E484" s="2" t="s">
        <v>1987</v>
      </c>
      <c r="F484" s="2" t="s">
        <v>1975</v>
      </c>
      <c r="G484" s="6">
        <v>300</v>
      </c>
      <c r="H484" s="8">
        <f t="shared" si="16"/>
        <v>258.62068965517244</v>
      </c>
      <c r="I484" s="2">
        <v>16</v>
      </c>
      <c r="J484" s="2">
        <f t="shared" si="15"/>
        <v>0.71386666666666665</v>
      </c>
      <c r="K484" t="s">
        <v>1525</v>
      </c>
      <c r="L484">
        <v>11</v>
      </c>
      <c r="M484">
        <v>74</v>
      </c>
      <c r="N484">
        <v>74</v>
      </c>
      <c r="O484">
        <v>0</v>
      </c>
      <c r="P484">
        <v>814</v>
      </c>
      <c r="Q484">
        <v>11</v>
      </c>
      <c r="R484">
        <v>814</v>
      </c>
      <c r="S484" t="s">
        <v>24</v>
      </c>
      <c r="T484" t="s">
        <v>24</v>
      </c>
      <c r="U484" t="s">
        <v>24</v>
      </c>
      <c r="V484" t="s">
        <v>25</v>
      </c>
      <c r="W484" t="s">
        <v>1525</v>
      </c>
      <c r="X484" t="s">
        <v>26</v>
      </c>
      <c r="Y484" t="s">
        <v>24</v>
      </c>
    </row>
    <row r="485" spans="1:25" x14ac:dyDescent="0.35">
      <c r="A485" s="1" t="s">
        <v>290</v>
      </c>
      <c r="B485" s="1" t="s">
        <v>291</v>
      </c>
      <c r="C485" s="1" t="s">
        <v>34</v>
      </c>
      <c r="D485" s="1" t="s">
        <v>35</v>
      </c>
      <c r="E485" s="2" t="s">
        <v>1987</v>
      </c>
      <c r="F485" s="2" t="s">
        <v>1975</v>
      </c>
      <c r="G485" s="6">
        <v>300</v>
      </c>
      <c r="H485" s="8">
        <f t="shared" si="16"/>
        <v>258.62068965517244</v>
      </c>
      <c r="I485" s="2">
        <v>16</v>
      </c>
      <c r="J485" s="2">
        <f t="shared" si="15"/>
        <v>0.71386666666666665</v>
      </c>
      <c r="K485" t="s">
        <v>1526</v>
      </c>
      <c r="L485">
        <v>5</v>
      </c>
      <c r="M485">
        <v>74</v>
      </c>
      <c r="N485">
        <v>74</v>
      </c>
      <c r="O485">
        <v>0</v>
      </c>
      <c r="P485">
        <v>370</v>
      </c>
      <c r="Q485">
        <v>5</v>
      </c>
      <c r="R485">
        <v>370</v>
      </c>
      <c r="S485" t="s">
        <v>24</v>
      </c>
      <c r="T485" t="s">
        <v>24</v>
      </c>
      <c r="U485" t="s">
        <v>24</v>
      </c>
      <c r="V485" t="s">
        <v>25</v>
      </c>
      <c r="W485" t="s">
        <v>1526</v>
      </c>
      <c r="X485" t="s">
        <v>26</v>
      </c>
      <c r="Y485" t="s">
        <v>24</v>
      </c>
    </row>
    <row r="486" spans="1:25" x14ac:dyDescent="0.35">
      <c r="A486" s="1" t="s">
        <v>1527</v>
      </c>
      <c r="B486" s="1" t="s">
        <v>1528</v>
      </c>
      <c r="C486" s="1" t="s">
        <v>295</v>
      </c>
      <c r="D486" s="1" t="s">
        <v>296</v>
      </c>
      <c r="E486" s="2" t="s">
        <v>2372</v>
      </c>
      <c r="F486" s="2" t="s">
        <v>1975</v>
      </c>
      <c r="G486" s="6">
        <v>540</v>
      </c>
      <c r="H486" s="8">
        <f t="shared" si="16"/>
        <v>465.51724137931035</v>
      </c>
      <c r="I486" s="2">
        <v>16</v>
      </c>
      <c r="J486" s="2">
        <f t="shared" si="15"/>
        <v>0.8116533777777778</v>
      </c>
      <c r="K486" t="s">
        <v>1529</v>
      </c>
      <c r="L486">
        <v>6</v>
      </c>
      <c r="M486">
        <v>87.678600000000003</v>
      </c>
      <c r="N486">
        <v>87.678600000000003</v>
      </c>
      <c r="O486">
        <v>0</v>
      </c>
      <c r="P486">
        <v>526.07159999999999</v>
      </c>
      <c r="Q486">
        <v>6</v>
      </c>
      <c r="R486">
        <v>526.07000000000005</v>
      </c>
      <c r="S486" t="s">
        <v>24</v>
      </c>
      <c r="T486" t="s">
        <v>24</v>
      </c>
      <c r="U486" t="s">
        <v>24</v>
      </c>
      <c r="V486" t="s">
        <v>25</v>
      </c>
      <c r="W486" t="s">
        <v>1529</v>
      </c>
      <c r="X486" t="s">
        <v>26</v>
      </c>
      <c r="Y486" t="s">
        <v>24</v>
      </c>
    </row>
    <row r="487" spans="1:25" x14ac:dyDescent="0.35">
      <c r="A487" s="1" t="s">
        <v>1530</v>
      </c>
      <c r="B487" s="1" t="s">
        <v>1531</v>
      </c>
      <c r="C487" s="1" t="s">
        <v>254</v>
      </c>
      <c r="D487" s="1" t="s">
        <v>255</v>
      </c>
      <c r="E487" s="2" t="s">
        <v>2373</v>
      </c>
      <c r="F487" s="2" t="s">
        <v>1975</v>
      </c>
      <c r="G487" s="6">
        <v>380</v>
      </c>
      <c r="H487" s="8">
        <f t="shared" si="16"/>
        <v>327.58620689655174</v>
      </c>
      <c r="I487" s="2">
        <v>16</v>
      </c>
      <c r="J487" s="2">
        <f t="shared" si="15"/>
        <v>0.72526315789473683</v>
      </c>
      <c r="K487" t="s">
        <v>1532</v>
      </c>
      <c r="L487">
        <v>1</v>
      </c>
      <c r="M487">
        <v>90</v>
      </c>
      <c r="N487">
        <v>90</v>
      </c>
      <c r="O487">
        <v>0</v>
      </c>
      <c r="P487">
        <v>90</v>
      </c>
      <c r="Q487">
        <v>1</v>
      </c>
      <c r="R487">
        <v>90</v>
      </c>
      <c r="S487" t="s">
        <v>24</v>
      </c>
      <c r="T487" t="s">
        <v>24</v>
      </c>
      <c r="U487" t="s">
        <v>24</v>
      </c>
      <c r="V487" t="s">
        <v>25</v>
      </c>
      <c r="W487" t="s">
        <v>1532</v>
      </c>
      <c r="X487" t="s">
        <v>26</v>
      </c>
      <c r="Y487" t="s">
        <v>24</v>
      </c>
    </row>
    <row r="488" spans="1:25" x14ac:dyDescent="0.35">
      <c r="A488" s="1" t="s">
        <v>1533</v>
      </c>
      <c r="B488" s="1" t="s">
        <v>1534</v>
      </c>
      <c r="C488" s="1" t="s">
        <v>254</v>
      </c>
      <c r="D488" s="1" t="s">
        <v>255</v>
      </c>
      <c r="E488" s="2" t="s">
        <v>2374</v>
      </c>
      <c r="F488" s="2" t="s">
        <v>1975</v>
      </c>
      <c r="G488" s="6">
        <v>380</v>
      </c>
      <c r="H488" s="8">
        <f t="shared" si="16"/>
        <v>327.58620689655174</v>
      </c>
      <c r="I488" s="2">
        <v>16</v>
      </c>
      <c r="J488" s="2">
        <f t="shared" si="15"/>
        <v>0.72526315789473683</v>
      </c>
      <c r="K488" t="s">
        <v>1535</v>
      </c>
      <c r="L488">
        <v>2</v>
      </c>
      <c r="M488">
        <v>90</v>
      </c>
      <c r="N488">
        <v>90</v>
      </c>
      <c r="O488">
        <v>0</v>
      </c>
      <c r="P488">
        <v>180</v>
      </c>
      <c r="Q488">
        <v>2</v>
      </c>
      <c r="R488">
        <v>180</v>
      </c>
      <c r="S488" t="s">
        <v>24</v>
      </c>
      <c r="T488" t="s">
        <v>24</v>
      </c>
      <c r="U488" t="s">
        <v>24</v>
      </c>
      <c r="V488" t="s">
        <v>25</v>
      </c>
      <c r="W488" t="s">
        <v>1535</v>
      </c>
      <c r="X488" t="s">
        <v>26</v>
      </c>
      <c r="Y488" t="s">
        <v>24</v>
      </c>
    </row>
    <row r="489" spans="1:25" x14ac:dyDescent="0.35">
      <c r="A489" s="1" t="s">
        <v>1536</v>
      </c>
      <c r="B489" s="1" t="s">
        <v>1537</v>
      </c>
      <c r="C489" s="1" t="s">
        <v>254</v>
      </c>
      <c r="D489" s="1" t="s">
        <v>255</v>
      </c>
      <c r="E489" s="2" t="s">
        <v>2375</v>
      </c>
      <c r="F489" s="2" t="s">
        <v>1975</v>
      </c>
      <c r="G489" s="6">
        <v>240</v>
      </c>
      <c r="H489" s="8">
        <f t="shared" si="16"/>
        <v>206.89655172413794</v>
      </c>
      <c r="I489" s="2">
        <v>16</v>
      </c>
      <c r="J489" s="2">
        <f t="shared" si="15"/>
        <v>0.70031255000000003</v>
      </c>
      <c r="K489" t="s">
        <v>1538</v>
      </c>
      <c r="L489">
        <v>10</v>
      </c>
      <c r="M489">
        <v>62.004300000000001</v>
      </c>
      <c r="N489">
        <v>62.007899999999999</v>
      </c>
      <c r="O489">
        <v>0</v>
      </c>
      <c r="P489">
        <v>558.03869999999995</v>
      </c>
      <c r="Q489">
        <v>9</v>
      </c>
      <c r="R489">
        <v>558.04</v>
      </c>
      <c r="S489" t="s">
        <v>24</v>
      </c>
      <c r="T489" t="s">
        <v>24</v>
      </c>
      <c r="U489" t="s">
        <v>24</v>
      </c>
      <c r="V489" t="s">
        <v>25</v>
      </c>
      <c r="W489" t="s">
        <v>1538</v>
      </c>
      <c r="X489" t="s">
        <v>26</v>
      </c>
      <c r="Y489" t="s">
        <v>24</v>
      </c>
    </row>
    <row r="490" spans="1:25" x14ac:dyDescent="0.35">
      <c r="A490" s="1" t="s">
        <v>1539</v>
      </c>
      <c r="B490" s="1" t="s">
        <v>1540</v>
      </c>
      <c r="C490" s="1" t="s">
        <v>392</v>
      </c>
      <c r="D490" s="1" t="s">
        <v>393</v>
      </c>
      <c r="E490" s="2" t="s">
        <v>2376</v>
      </c>
      <c r="F490" s="2" t="s">
        <v>1975</v>
      </c>
      <c r="G490" s="6">
        <v>4070</v>
      </c>
      <c r="H490" s="8">
        <f t="shared" si="16"/>
        <v>3508.6206896551726</v>
      </c>
      <c r="I490" s="2">
        <v>16</v>
      </c>
      <c r="J490" s="2">
        <f t="shared" si="15"/>
        <v>0.73493857493857495</v>
      </c>
      <c r="K490" t="s">
        <v>1541</v>
      </c>
      <c r="L490">
        <v>1</v>
      </c>
      <c r="M490">
        <v>930</v>
      </c>
      <c r="N490">
        <v>930</v>
      </c>
      <c r="O490">
        <v>0</v>
      </c>
      <c r="P490">
        <v>930</v>
      </c>
      <c r="Q490">
        <v>1</v>
      </c>
      <c r="R490">
        <v>930</v>
      </c>
      <c r="S490" t="s">
        <v>24</v>
      </c>
      <c r="T490" t="s">
        <v>24</v>
      </c>
      <c r="U490" t="s">
        <v>24</v>
      </c>
      <c r="V490" t="s">
        <v>25</v>
      </c>
      <c r="W490" t="s">
        <v>1541</v>
      </c>
      <c r="X490" t="s">
        <v>26</v>
      </c>
      <c r="Y490" t="s">
        <v>24</v>
      </c>
    </row>
    <row r="491" spans="1:25" x14ac:dyDescent="0.35">
      <c r="A491" s="1" t="s">
        <v>1542</v>
      </c>
      <c r="B491" s="1" t="s">
        <v>1543</v>
      </c>
      <c r="C491" s="1" t="s">
        <v>249</v>
      </c>
      <c r="D491" s="1" t="s">
        <v>250</v>
      </c>
      <c r="E491" s="2" t="s">
        <v>2377</v>
      </c>
      <c r="F491" s="2" t="s">
        <v>1975</v>
      </c>
      <c r="G491" s="6">
        <v>540</v>
      </c>
      <c r="H491" s="8">
        <f t="shared" si="16"/>
        <v>465.51724137931035</v>
      </c>
      <c r="I491" s="2">
        <v>16</v>
      </c>
      <c r="J491" s="2">
        <f t="shared" si="15"/>
        <v>0.63481481481481483</v>
      </c>
      <c r="K491" t="s">
        <v>1544</v>
      </c>
      <c r="L491">
        <v>1</v>
      </c>
      <c r="M491">
        <v>170</v>
      </c>
      <c r="N491">
        <v>170</v>
      </c>
      <c r="O491">
        <v>0</v>
      </c>
      <c r="P491">
        <v>170</v>
      </c>
      <c r="Q491">
        <v>1</v>
      </c>
      <c r="R491">
        <v>170</v>
      </c>
      <c r="S491" t="s">
        <v>24</v>
      </c>
      <c r="T491" t="s">
        <v>24</v>
      </c>
      <c r="U491" t="s">
        <v>24</v>
      </c>
      <c r="V491" t="s">
        <v>25</v>
      </c>
      <c r="W491" t="s">
        <v>1544</v>
      </c>
      <c r="X491" t="s">
        <v>26</v>
      </c>
      <c r="Y491" t="s">
        <v>24</v>
      </c>
    </row>
    <row r="492" spans="1:25" x14ac:dyDescent="0.35">
      <c r="A492" s="1" t="s">
        <v>307</v>
      </c>
      <c r="B492" s="1" t="s">
        <v>308</v>
      </c>
      <c r="C492" s="1" t="s">
        <v>265</v>
      </c>
      <c r="D492" s="1" t="s">
        <v>266</v>
      </c>
      <c r="E492" s="2" t="s">
        <v>1991</v>
      </c>
      <c r="F492" s="2" t="s">
        <v>1975</v>
      </c>
      <c r="G492" s="6">
        <v>780</v>
      </c>
      <c r="H492" s="8">
        <f t="shared" si="16"/>
        <v>672.41379310344837</v>
      </c>
      <c r="I492" s="2">
        <v>16</v>
      </c>
      <c r="J492" s="2">
        <f t="shared" si="15"/>
        <v>0.78435897435897439</v>
      </c>
      <c r="K492" t="s">
        <v>1545</v>
      </c>
      <c r="L492">
        <v>2</v>
      </c>
      <c r="M492">
        <v>145</v>
      </c>
      <c r="N492">
        <v>145</v>
      </c>
      <c r="O492">
        <v>0</v>
      </c>
      <c r="P492">
        <v>290</v>
      </c>
      <c r="Q492">
        <v>2</v>
      </c>
      <c r="R492">
        <v>290</v>
      </c>
      <c r="S492" t="s">
        <v>24</v>
      </c>
      <c r="T492" t="s">
        <v>24</v>
      </c>
      <c r="U492" t="s">
        <v>24</v>
      </c>
      <c r="V492" t="s">
        <v>25</v>
      </c>
      <c r="W492" t="s">
        <v>1545</v>
      </c>
      <c r="X492" t="s">
        <v>26</v>
      </c>
      <c r="Y492" t="s">
        <v>24</v>
      </c>
    </row>
    <row r="493" spans="1:25" x14ac:dyDescent="0.35">
      <c r="A493" s="1" t="s">
        <v>1546</v>
      </c>
      <c r="B493" s="1" t="s">
        <v>1547</v>
      </c>
      <c r="C493" s="1" t="s">
        <v>265</v>
      </c>
      <c r="D493" s="1" t="s">
        <v>266</v>
      </c>
      <c r="E493" s="2" t="s">
        <v>2378</v>
      </c>
      <c r="F493" s="2" t="s">
        <v>1975</v>
      </c>
      <c r="G493" s="6">
        <v>780</v>
      </c>
      <c r="H493" s="8">
        <f t="shared" si="16"/>
        <v>672.41379310344837</v>
      </c>
      <c r="I493" s="2">
        <v>16</v>
      </c>
      <c r="J493" s="2">
        <f t="shared" si="15"/>
        <v>0.78435897435897439</v>
      </c>
      <c r="K493" t="s">
        <v>1548</v>
      </c>
      <c r="L493">
        <v>5</v>
      </c>
      <c r="M493">
        <v>145</v>
      </c>
      <c r="N493">
        <v>145</v>
      </c>
      <c r="O493">
        <v>0</v>
      </c>
      <c r="P493">
        <v>725</v>
      </c>
      <c r="Q493">
        <v>5</v>
      </c>
      <c r="R493">
        <v>725</v>
      </c>
      <c r="S493" t="s">
        <v>24</v>
      </c>
      <c r="T493" t="s">
        <v>24</v>
      </c>
      <c r="U493" t="s">
        <v>24</v>
      </c>
      <c r="V493" t="s">
        <v>25</v>
      </c>
      <c r="W493" t="s">
        <v>1548</v>
      </c>
      <c r="X493" t="s">
        <v>26</v>
      </c>
      <c r="Y493" t="s">
        <v>24</v>
      </c>
    </row>
    <row r="494" spans="1:25" x14ac:dyDescent="0.35">
      <c r="A494" s="1" t="s">
        <v>1549</v>
      </c>
      <c r="B494" s="1" t="s">
        <v>1550</v>
      </c>
      <c r="C494" s="1" t="s">
        <v>265</v>
      </c>
      <c r="D494" s="1" t="s">
        <v>266</v>
      </c>
      <c r="E494" s="2" t="s">
        <v>2379</v>
      </c>
      <c r="F494" s="2" t="s">
        <v>1975</v>
      </c>
      <c r="G494" s="6">
        <v>780</v>
      </c>
      <c r="H494" s="8">
        <f t="shared" si="16"/>
        <v>672.41379310344837</v>
      </c>
      <c r="I494" s="2">
        <v>16</v>
      </c>
      <c r="J494" s="2">
        <f t="shared" si="15"/>
        <v>0.78435897435897439</v>
      </c>
      <c r="K494" t="s">
        <v>1551</v>
      </c>
      <c r="L494">
        <v>2</v>
      </c>
      <c r="M494">
        <v>145</v>
      </c>
      <c r="N494">
        <v>145</v>
      </c>
      <c r="O494">
        <v>0</v>
      </c>
      <c r="P494">
        <v>290</v>
      </c>
      <c r="Q494">
        <v>2</v>
      </c>
      <c r="R494">
        <v>290</v>
      </c>
      <c r="S494" t="s">
        <v>24</v>
      </c>
      <c r="T494" t="s">
        <v>24</v>
      </c>
      <c r="U494" t="s">
        <v>24</v>
      </c>
      <c r="V494" t="s">
        <v>25</v>
      </c>
      <c r="W494" t="s">
        <v>1551</v>
      </c>
      <c r="X494" t="s">
        <v>26</v>
      </c>
      <c r="Y494" t="s">
        <v>24</v>
      </c>
    </row>
    <row r="495" spans="1:25" x14ac:dyDescent="0.35">
      <c r="A495" s="1" t="s">
        <v>1552</v>
      </c>
      <c r="B495" s="1" t="s">
        <v>1553</v>
      </c>
      <c r="C495" s="1" t="s">
        <v>34</v>
      </c>
      <c r="D495" s="1" t="s">
        <v>35</v>
      </c>
      <c r="E495" s="2" t="s">
        <v>2380</v>
      </c>
      <c r="F495" s="2" t="s">
        <v>1913</v>
      </c>
      <c r="G495" s="6">
        <v>240</v>
      </c>
      <c r="H495" s="8">
        <f t="shared" si="16"/>
        <v>206.89655172413794</v>
      </c>
      <c r="I495" s="2">
        <v>16</v>
      </c>
      <c r="J495" s="2">
        <f t="shared" si="15"/>
        <v>0.80942166666666671</v>
      </c>
      <c r="K495" t="s">
        <v>1554</v>
      </c>
      <c r="L495">
        <v>6</v>
      </c>
      <c r="M495">
        <v>39.43</v>
      </c>
      <c r="N495">
        <v>39.43</v>
      </c>
      <c r="O495">
        <v>0</v>
      </c>
      <c r="P495">
        <v>236.58</v>
      </c>
      <c r="Q495">
        <v>6</v>
      </c>
      <c r="R495">
        <v>236.58</v>
      </c>
      <c r="S495" t="s">
        <v>24</v>
      </c>
      <c r="T495" t="s">
        <v>24</v>
      </c>
      <c r="U495" t="s">
        <v>24</v>
      </c>
      <c r="V495" t="s">
        <v>25</v>
      </c>
      <c r="W495" t="s">
        <v>1554</v>
      </c>
      <c r="X495" t="s">
        <v>26</v>
      </c>
      <c r="Y495" t="s">
        <v>24</v>
      </c>
    </row>
    <row r="496" spans="1:25" x14ac:dyDescent="0.35">
      <c r="A496" s="1" t="s">
        <v>1555</v>
      </c>
      <c r="B496" s="1" t="s">
        <v>1556</v>
      </c>
      <c r="C496" s="1" t="s">
        <v>34</v>
      </c>
      <c r="D496" s="1" t="s">
        <v>35</v>
      </c>
      <c r="E496" s="2" t="s">
        <v>2381</v>
      </c>
      <c r="F496" s="2" t="s">
        <v>1913</v>
      </c>
      <c r="G496" s="6">
        <v>240</v>
      </c>
      <c r="H496" s="8">
        <f t="shared" si="16"/>
        <v>206.89655172413794</v>
      </c>
      <c r="I496" s="2">
        <v>16</v>
      </c>
      <c r="J496" s="2">
        <f t="shared" si="15"/>
        <v>0.80411901666666674</v>
      </c>
      <c r="K496" t="s">
        <v>1557</v>
      </c>
      <c r="L496">
        <v>4</v>
      </c>
      <c r="M496">
        <v>40.527099999999997</v>
      </c>
      <c r="N496">
        <v>40.527099999999997</v>
      </c>
      <c r="O496">
        <v>0</v>
      </c>
      <c r="P496">
        <v>162.10839999999999</v>
      </c>
      <c r="Q496">
        <v>4</v>
      </c>
      <c r="R496">
        <v>162.11000000000001</v>
      </c>
      <c r="S496" t="s">
        <v>24</v>
      </c>
      <c r="T496" t="s">
        <v>24</v>
      </c>
      <c r="U496" t="s">
        <v>24</v>
      </c>
      <c r="V496" t="s">
        <v>25</v>
      </c>
      <c r="W496" t="s">
        <v>1557</v>
      </c>
      <c r="X496" t="s">
        <v>26</v>
      </c>
      <c r="Y496" t="s">
        <v>24</v>
      </c>
    </row>
    <row r="497" spans="1:25" x14ac:dyDescent="0.35">
      <c r="A497" s="1" t="s">
        <v>1558</v>
      </c>
      <c r="B497" s="1" t="s">
        <v>1559</v>
      </c>
      <c r="C497" s="1" t="s">
        <v>249</v>
      </c>
      <c r="D497" s="1" t="s">
        <v>250</v>
      </c>
      <c r="E497" s="2" t="s">
        <v>2382</v>
      </c>
      <c r="F497" s="2" t="s">
        <v>2082</v>
      </c>
      <c r="G497" s="6">
        <v>160</v>
      </c>
      <c r="H497" s="8">
        <f t="shared" si="16"/>
        <v>148.14814814814815</v>
      </c>
      <c r="I497" s="2">
        <v>8</v>
      </c>
      <c r="J497" s="2">
        <f t="shared" si="15"/>
        <v>0.70502500000000001</v>
      </c>
      <c r="K497" t="s">
        <v>1560</v>
      </c>
      <c r="L497">
        <v>5</v>
      </c>
      <c r="M497">
        <v>43.7</v>
      </c>
      <c r="N497">
        <v>43.7</v>
      </c>
      <c r="O497">
        <v>0</v>
      </c>
      <c r="P497">
        <v>218.5</v>
      </c>
      <c r="Q497">
        <v>5</v>
      </c>
      <c r="R497">
        <v>218.5</v>
      </c>
      <c r="S497" t="s">
        <v>24</v>
      </c>
      <c r="T497" t="s">
        <v>24</v>
      </c>
      <c r="U497" t="s">
        <v>24</v>
      </c>
      <c r="V497" t="s">
        <v>25</v>
      </c>
      <c r="W497" t="s">
        <v>1560</v>
      </c>
      <c r="X497" t="s">
        <v>26</v>
      </c>
      <c r="Y497" t="s">
        <v>24</v>
      </c>
    </row>
    <row r="498" spans="1:25" x14ac:dyDescent="0.35">
      <c r="A498" s="1" t="s">
        <v>1561</v>
      </c>
      <c r="B498" s="1" t="s">
        <v>1562</v>
      </c>
      <c r="C498" s="1" t="s">
        <v>467</v>
      </c>
      <c r="D498" s="1" t="s">
        <v>468</v>
      </c>
      <c r="E498" s="2" t="s">
        <v>2383</v>
      </c>
      <c r="F498" s="2" t="s">
        <v>1911</v>
      </c>
      <c r="G498" s="6">
        <v>1640</v>
      </c>
      <c r="H498" s="8">
        <f t="shared" si="16"/>
        <v>1413.793103448276</v>
      </c>
      <c r="I498" s="2">
        <v>16</v>
      </c>
      <c r="J498" s="2">
        <f t="shared" si="15"/>
        <v>0.69847073170731711</v>
      </c>
      <c r="K498" t="s">
        <v>1563</v>
      </c>
      <c r="L498">
        <v>3</v>
      </c>
      <c r="M498">
        <v>426.3</v>
      </c>
      <c r="N498">
        <v>426.3</v>
      </c>
      <c r="O498">
        <v>0</v>
      </c>
      <c r="P498">
        <v>1278.9000000000001</v>
      </c>
      <c r="Q498">
        <v>3</v>
      </c>
      <c r="R498">
        <v>1278.9000000000001</v>
      </c>
      <c r="S498" t="s">
        <v>24</v>
      </c>
      <c r="T498" t="s">
        <v>24</v>
      </c>
      <c r="U498" t="s">
        <v>24</v>
      </c>
      <c r="V498" t="s">
        <v>25</v>
      </c>
      <c r="W498" t="s">
        <v>1563</v>
      </c>
      <c r="X498" t="s">
        <v>26</v>
      </c>
      <c r="Y498" t="s">
        <v>24</v>
      </c>
    </row>
    <row r="499" spans="1:25" x14ac:dyDescent="0.35">
      <c r="A499" s="1" t="s">
        <v>1564</v>
      </c>
      <c r="B499" s="1" t="s">
        <v>1565</v>
      </c>
      <c r="C499" s="1" t="s">
        <v>467</v>
      </c>
      <c r="D499" s="1" t="s">
        <v>468</v>
      </c>
      <c r="E499" s="2" t="s">
        <v>2384</v>
      </c>
      <c r="F499" s="2" t="s">
        <v>1975</v>
      </c>
      <c r="G499" s="6">
        <v>22499</v>
      </c>
      <c r="H499" s="8">
        <f t="shared" si="16"/>
        <v>19395.689655172417</v>
      </c>
      <c r="I499" s="2">
        <v>16</v>
      </c>
      <c r="J499" s="2">
        <f t="shared" si="15"/>
        <v>0.6666738788390596</v>
      </c>
      <c r="K499" t="s">
        <v>1566</v>
      </c>
      <c r="L499">
        <v>2</v>
      </c>
      <c r="M499">
        <v>6465.09</v>
      </c>
      <c r="N499">
        <v>6465.09</v>
      </c>
      <c r="O499">
        <v>0</v>
      </c>
      <c r="P499">
        <v>12930.18</v>
      </c>
      <c r="Q499">
        <v>2</v>
      </c>
      <c r="R499">
        <v>12930.18</v>
      </c>
      <c r="S499" t="s">
        <v>24</v>
      </c>
      <c r="T499" t="s">
        <v>24</v>
      </c>
      <c r="U499" t="s">
        <v>24</v>
      </c>
      <c r="V499" t="s">
        <v>25</v>
      </c>
      <c r="W499" t="s">
        <v>1566</v>
      </c>
      <c r="X499" t="s">
        <v>26</v>
      </c>
      <c r="Y499" t="s">
        <v>24</v>
      </c>
    </row>
    <row r="500" spans="1:25" x14ac:dyDescent="0.35">
      <c r="A500" s="1" t="s">
        <v>1567</v>
      </c>
      <c r="B500" s="1" t="s">
        <v>1568</v>
      </c>
      <c r="C500" s="1" t="s">
        <v>467</v>
      </c>
      <c r="D500" s="1" t="s">
        <v>468</v>
      </c>
      <c r="E500" s="2" t="s">
        <v>2385</v>
      </c>
      <c r="F500" s="2" t="s">
        <v>1975</v>
      </c>
      <c r="G500" s="6">
        <v>2500</v>
      </c>
      <c r="H500" s="8">
        <f t="shared" si="16"/>
        <v>2155.1724137931037</v>
      </c>
      <c r="I500" s="2">
        <v>16</v>
      </c>
      <c r="J500" s="2">
        <f t="shared" si="15"/>
        <v>0.70020031999999999</v>
      </c>
      <c r="K500" t="s">
        <v>1569</v>
      </c>
      <c r="L500">
        <v>1</v>
      </c>
      <c r="M500">
        <v>646.12</v>
      </c>
      <c r="N500">
        <v>646.12</v>
      </c>
      <c r="O500">
        <v>0</v>
      </c>
      <c r="P500">
        <v>646.12</v>
      </c>
      <c r="Q500">
        <v>1</v>
      </c>
      <c r="R500">
        <v>646.12</v>
      </c>
      <c r="S500" t="s">
        <v>24</v>
      </c>
      <c r="T500" t="s">
        <v>24</v>
      </c>
      <c r="U500" t="s">
        <v>24</v>
      </c>
      <c r="V500" t="s">
        <v>25</v>
      </c>
      <c r="W500" t="s">
        <v>1569</v>
      </c>
      <c r="X500" t="s">
        <v>26</v>
      </c>
      <c r="Y500" t="s">
        <v>24</v>
      </c>
    </row>
    <row r="501" spans="1:25" x14ac:dyDescent="0.35">
      <c r="A501" s="1" t="s">
        <v>1294</v>
      </c>
      <c r="B501" s="1" t="s">
        <v>1295</v>
      </c>
      <c r="C501" s="1" t="s">
        <v>254</v>
      </c>
      <c r="D501" s="1" t="s">
        <v>255</v>
      </c>
      <c r="E501" s="2" t="s">
        <v>2297</v>
      </c>
      <c r="F501" s="2" t="s">
        <v>1911</v>
      </c>
      <c r="G501" s="6">
        <v>60</v>
      </c>
      <c r="H501" s="8">
        <f t="shared" si="16"/>
        <v>51.724137931034484</v>
      </c>
      <c r="I501" s="2">
        <v>16</v>
      </c>
      <c r="J501" s="2">
        <f t="shared" si="15"/>
        <v>0.71</v>
      </c>
      <c r="K501" t="s">
        <v>1570</v>
      </c>
      <c r="L501">
        <v>1</v>
      </c>
      <c r="M501">
        <v>15</v>
      </c>
      <c r="N501">
        <v>15</v>
      </c>
      <c r="O501">
        <v>0</v>
      </c>
      <c r="P501">
        <v>15</v>
      </c>
      <c r="Q501">
        <v>1</v>
      </c>
      <c r="R501">
        <v>15</v>
      </c>
      <c r="S501" t="s">
        <v>24</v>
      </c>
      <c r="T501" t="s">
        <v>24</v>
      </c>
      <c r="U501" t="s">
        <v>24</v>
      </c>
      <c r="V501" t="s">
        <v>25</v>
      </c>
      <c r="W501" t="s">
        <v>1570</v>
      </c>
      <c r="X501" t="s">
        <v>26</v>
      </c>
      <c r="Y501" t="s">
        <v>24</v>
      </c>
    </row>
    <row r="502" spans="1:25" x14ac:dyDescent="0.35">
      <c r="A502" s="1" t="s">
        <v>1571</v>
      </c>
      <c r="B502" s="1" t="s">
        <v>1572</v>
      </c>
      <c r="C502" s="1" t="s">
        <v>254</v>
      </c>
      <c r="D502" s="1" t="s">
        <v>255</v>
      </c>
      <c r="E502" s="2" t="s">
        <v>2386</v>
      </c>
      <c r="F502" s="2" t="s">
        <v>1913</v>
      </c>
      <c r="G502" s="6">
        <v>160</v>
      </c>
      <c r="H502" s="8">
        <f t="shared" si="16"/>
        <v>137.93103448275863</v>
      </c>
      <c r="I502" s="2">
        <v>16</v>
      </c>
      <c r="J502" s="2">
        <f t="shared" si="15"/>
        <v>0.64837500000000003</v>
      </c>
      <c r="K502" t="s">
        <v>1573</v>
      </c>
      <c r="L502">
        <v>7</v>
      </c>
      <c r="M502">
        <v>48.5</v>
      </c>
      <c r="N502">
        <v>48.5</v>
      </c>
      <c r="O502">
        <v>0</v>
      </c>
      <c r="P502">
        <v>339.5</v>
      </c>
      <c r="Q502">
        <v>7</v>
      </c>
      <c r="R502">
        <v>339.5</v>
      </c>
      <c r="S502" t="s">
        <v>24</v>
      </c>
      <c r="T502" t="s">
        <v>24</v>
      </c>
      <c r="U502" t="s">
        <v>24</v>
      </c>
      <c r="V502" t="s">
        <v>25</v>
      </c>
      <c r="W502" t="s">
        <v>1573</v>
      </c>
      <c r="X502" t="s">
        <v>26</v>
      </c>
      <c r="Y502" t="s">
        <v>24</v>
      </c>
    </row>
    <row r="503" spans="1:25" x14ac:dyDescent="0.35">
      <c r="A503" s="1" t="s">
        <v>1574</v>
      </c>
      <c r="B503" s="1" t="s">
        <v>1575</v>
      </c>
      <c r="C503" s="1" t="s">
        <v>295</v>
      </c>
      <c r="D503" s="1" t="s">
        <v>296</v>
      </c>
      <c r="E503" s="2" t="s">
        <v>2387</v>
      </c>
      <c r="F503" s="2" t="s">
        <v>1975</v>
      </c>
      <c r="G503" s="6">
        <v>980</v>
      </c>
      <c r="H503" s="8">
        <f t="shared" si="16"/>
        <v>844.82758620689663</v>
      </c>
      <c r="I503" s="2">
        <v>16</v>
      </c>
      <c r="J503" s="2">
        <f t="shared" si="15"/>
        <v>0.74195918367346936</v>
      </c>
      <c r="K503" t="s">
        <v>1576</v>
      </c>
      <c r="L503">
        <v>1</v>
      </c>
      <c r="M503">
        <v>218</v>
      </c>
      <c r="N503">
        <v>218</v>
      </c>
      <c r="O503">
        <v>0</v>
      </c>
      <c r="P503">
        <v>218</v>
      </c>
      <c r="Q503">
        <v>1</v>
      </c>
      <c r="R503">
        <v>218</v>
      </c>
      <c r="S503" t="s">
        <v>24</v>
      </c>
      <c r="T503" t="s">
        <v>24</v>
      </c>
      <c r="U503" t="s">
        <v>24</v>
      </c>
      <c r="V503" t="s">
        <v>25</v>
      </c>
      <c r="W503" t="s">
        <v>1576</v>
      </c>
      <c r="X503" t="s">
        <v>26</v>
      </c>
      <c r="Y503" t="s">
        <v>24</v>
      </c>
    </row>
    <row r="504" spans="1:25" x14ac:dyDescent="0.35">
      <c r="A504" s="1" t="s">
        <v>343</v>
      </c>
      <c r="B504" s="1" t="s">
        <v>344</v>
      </c>
      <c r="C504" s="1" t="s">
        <v>254</v>
      </c>
      <c r="D504" s="1" t="s">
        <v>255</v>
      </c>
      <c r="E504" s="2" t="s">
        <v>2003</v>
      </c>
      <c r="F504" s="2" t="s">
        <v>1994</v>
      </c>
      <c r="G504" s="6">
        <v>240</v>
      </c>
      <c r="H504" s="8">
        <f t="shared" si="16"/>
        <v>206.89655172413794</v>
      </c>
      <c r="I504" s="2">
        <v>16</v>
      </c>
      <c r="J504" s="2">
        <f t="shared" si="15"/>
        <v>0.76316086666666672</v>
      </c>
      <c r="K504" t="s">
        <v>1577</v>
      </c>
      <c r="L504">
        <v>16</v>
      </c>
      <c r="M504">
        <v>49.001199999999997</v>
      </c>
      <c r="N504">
        <v>49.001199999999997</v>
      </c>
      <c r="O504">
        <v>0</v>
      </c>
      <c r="P504">
        <v>784.01919999999996</v>
      </c>
      <c r="Q504">
        <v>16</v>
      </c>
      <c r="R504">
        <v>784.02</v>
      </c>
      <c r="S504" t="s">
        <v>24</v>
      </c>
      <c r="T504" t="s">
        <v>24</v>
      </c>
      <c r="U504" t="s">
        <v>24</v>
      </c>
      <c r="V504" t="s">
        <v>25</v>
      </c>
      <c r="W504" t="s">
        <v>1577</v>
      </c>
      <c r="X504" t="s">
        <v>26</v>
      </c>
      <c r="Y504" t="s">
        <v>24</v>
      </c>
    </row>
    <row r="505" spans="1:25" x14ac:dyDescent="0.35">
      <c r="A505" s="1" t="s">
        <v>1578</v>
      </c>
      <c r="B505" s="1" t="s">
        <v>1579</v>
      </c>
      <c r="C505" s="1" t="s">
        <v>34</v>
      </c>
      <c r="D505" s="1" t="s">
        <v>35</v>
      </c>
      <c r="E505" s="2" t="s">
        <v>2388</v>
      </c>
      <c r="F505" s="2" t="s">
        <v>1975</v>
      </c>
      <c r="G505" s="6">
        <v>240</v>
      </c>
      <c r="H505" s="8">
        <f t="shared" si="16"/>
        <v>206.89655172413794</v>
      </c>
      <c r="I505" s="2">
        <v>16</v>
      </c>
      <c r="J505" s="2">
        <f t="shared" si="15"/>
        <v>0.6910533333333333</v>
      </c>
      <c r="K505" t="s">
        <v>1580</v>
      </c>
      <c r="L505">
        <v>10</v>
      </c>
      <c r="M505">
        <v>63.92</v>
      </c>
      <c r="N505">
        <v>63.92</v>
      </c>
      <c r="O505">
        <v>0</v>
      </c>
      <c r="P505">
        <v>639.20000000000005</v>
      </c>
      <c r="Q505">
        <v>10</v>
      </c>
      <c r="R505">
        <v>639.20000000000005</v>
      </c>
      <c r="S505" t="s">
        <v>24</v>
      </c>
      <c r="T505" t="s">
        <v>24</v>
      </c>
      <c r="U505" t="s">
        <v>24</v>
      </c>
      <c r="V505" t="s">
        <v>25</v>
      </c>
      <c r="W505" t="s">
        <v>1580</v>
      </c>
      <c r="X505" t="s">
        <v>26</v>
      </c>
      <c r="Y505" t="s">
        <v>24</v>
      </c>
    </row>
    <row r="506" spans="1:25" x14ac:dyDescent="0.35">
      <c r="A506" s="1" t="s">
        <v>1581</v>
      </c>
      <c r="B506" s="1" t="s">
        <v>1582</v>
      </c>
      <c r="C506" s="1" t="s">
        <v>34</v>
      </c>
      <c r="D506" s="1" t="s">
        <v>35</v>
      </c>
      <c r="E506" s="2" t="s">
        <v>2389</v>
      </c>
      <c r="F506" s="2" t="s">
        <v>1975</v>
      </c>
      <c r="G506" s="6">
        <v>240</v>
      </c>
      <c r="H506" s="8">
        <f t="shared" si="16"/>
        <v>206.89655172413794</v>
      </c>
      <c r="I506" s="2">
        <v>16</v>
      </c>
      <c r="J506" s="2">
        <f t="shared" si="15"/>
        <v>0.69308333333333327</v>
      </c>
      <c r="K506" t="s">
        <v>1583</v>
      </c>
      <c r="L506">
        <v>10</v>
      </c>
      <c r="M506">
        <v>63.5</v>
      </c>
      <c r="N506">
        <v>63.5</v>
      </c>
      <c r="O506">
        <v>0</v>
      </c>
      <c r="P506">
        <v>635</v>
      </c>
      <c r="Q506">
        <v>10</v>
      </c>
      <c r="R506">
        <v>635</v>
      </c>
      <c r="S506" t="s">
        <v>24</v>
      </c>
      <c r="T506" t="s">
        <v>24</v>
      </c>
      <c r="U506" t="s">
        <v>24</v>
      </c>
      <c r="V506" t="s">
        <v>25</v>
      </c>
      <c r="W506" t="s">
        <v>1583</v>
      </c>
      <c r="X506" t="s">
        <v>26</v>
      </c>
      <c r="Y506" t="s">
        <v>24</v>
      </c>
    </row>
    <row r="507" spans="1:25" x14ac:dyDescent="0.35">
      <c r="A507" s="1" t="s">
        <v>1584</v>
      </c>
      <c r="B507" s="1" t="s">
        <v>1585</v>
      </c>
      <c r="C507" s="1" t="s">
        <v>34</v>
      </c>
      <c r="D507" s="1" t="s">
        <v>35</v>
      </c>
      <c r="E507" s="2" t="s">
        <v>2390</v>
      </c>
      <c r="F507" s="2" t="s">
        <v>1975</v>
      </c>
      <c r="G507" s="6">
        <v>240</v>
      </c>
      <c r="H507" s="8">
        <f t="shared" si="16"/>
        <v>206.89655172413794</v>
      </c>
      <c r="I507" s="2">
        <v>16</v>
      </c>
      <c r="J507" s="2">
        <f t="shared" si="15"/>
        <v>0.69350528333333328</v>
      </c>
      <c r="K507" t="s">
        <v>1586</v>
      </c>
      <c r="L507">
        <v>8</v>
      </c>
      <c r="M507">
        <v>63.412700000000001</v>
      </c>
      <c r="N507">
        <v>63.412700000000001</v>
      </c>
      <c r="O507">
        <v>0</v>
      </c>
      <c r="P507">
        <v>507.30160000000001</v>
      </c>
      <c r="Q507">
        <v>8</v>
      </c>
      <c r="R507">
        <v>507.3</v>
      </c>
      <c r="S507" t="s">
        <v>24</v>
      </c>
      <c r="T507" t="s">
        <v>24</v>
      </c>
      <c r="U507" t="s">
        <v>24</v>
      </c>
      <c r="V507" t="s">
        <v>25</v>
      </c>
      <c r="W507" t="s">
        <v>1586</v>
      </c>
      <c r="X507" t="s">
        <v>26</v>
      </c>
      <c r="Y507" t="s">
        <v>24</v>
      </c>
    </row>
    <row r="508" spans="1:25" x14ac:dyDescent="0.35">
      <c r="A508" s="1" t="s">
        <v>1587</v>
      </c>
      <c r="B508" s="1" t="s">
        <v>1588</v>
      </c>
      <c r="C508" s="1" t="s">
        <v>844</v>
      </c>
      <c r="D508" s="1" t="s">
        <v>845</v>
      </c>
      <c r="E508" s="2" t="s">
        <v>2391</v>
      </c>
      <c r="F508" s="2" t="s">
        <v>1994</v>
      </c>
      <c r="G508" s="6">
        <v>100</v>
      </c>
      <c r="H508" s="8">
        <f t="shared" si="16"/>
        <v>86.206896551724142</v>
      </c>
      <c r="I508" s="2">
        <v>16</v>
      </c>
      <c r="J508" s="2">
        <f t="shared" si="15"/>
        <v>0.57079999999999997</v>
      </c>
      <c r="K508" t="s">
        <v>1589</v>
      </c>
      <c r="L508">
        <v>9</v>
      </c>
      <c r="M508">
        <v>37</v>
      </c>
      <c r="N508">
        <v>37</v>
      </c>
      <c r="O508">
        <v>0</v>
      </c>
      <c r="P508">
        <v>333</v>
      </c>
      <c r="Q508">
        <v>9</v>
      </c>
      <c r="R508">
        <v>333</v>
      </c>
      <c r="S508" t="s">
        <v>24</v>
      </c>
      <c r="T508" t="s">
        <v>24</v>
      </c>
      <c r="U508" t="s">
        <v>24</v>
      </c>
      <c r="V508" t="s">
        <v>25</v>
      </c>
      <c r="W508" t="s">
        <v>1589</v>
      </c>
      <c r="X508" t="s">
        <v>26</v>
      </c>
      <c r="Y508" t="s">
        <v>24</v>
      </c>
    </row>
    <row r="509" spans="1:25" x14ac:dyDescent="0.35">
      <c r="A509" s="1" t="s">
        <v>1590</v>
      </c>
      <c r="B509" s="1" t="s">
        <v>1591</v>
      </c>
      <c r="C509" s="1" t="s">
        <v>29</v>
      </c>
      <c r="D509" s="1" t="s">
        <v>30</v>
      </c>
      <c r="E509" s="2" t="s">
        <v>2392</v>
      </c>
      <c r="F509" s="2" t="s">
        <v>1975</v>
      </c>
      <c r="G509" s="6">
        <v>940</v>
      </c>
      <c r="H509" s="8">
        <f t="shared" si="16"/>
        <v>810.34482758620697</v>
      </c>
      <c r="I509" s="2">
        <v>16</v>
      </c>
      <c r="J509" s="2">
        <f t="shared" si="15"/>
        <v>0.76553191489361705</v>
      </c>
      <c r="K509" t="s">
        <v>1592</v>
      </c>
      <c r="L509">
        <v>4</v>
      </c>
      <c r="M509">
        <v>190</v>
      </c>
      <c r="N509">
        <v>190</v>
      </c>
      <c r="O509">
        <v>0</v>
      </c>
      <c r="P509">
        <v>760</v>
      </c>
      <c r="Q509">
        <v>4</v>
      </c>
      <c r="R509">
        <v>760</v>
      </c>
      <c r="S509" t="s">
        <v>24</v>
      </c>
      <c r="T509" t="s">
        <v>24</v>
      </c>
      <c r="U509" t="s">
        <v>24</v>
      </c>
      <c r="V509" t="s">
        <v>25</v>
      </c>
      <c r="W509" t="s">
        <v>1592</v>
      </c>
      <c r="X509" t="s">
        <v>26</v>
      </c>
      <c r="Y509" t="s">
        <v>24</v>
      </c>
    </row>
    <row r="510" spans="1:25" x14ac:dyDescent="0.35">
      <c r="A510" s="1" t="s">
        <v>1593</v>
      </c>
      <c r="B510" s="1" t="s">
        <v>1594</v>
      </c>
      <c r="C510" s="1" t="s">
        <v>254</v>
      </c>
      <c r="D510" s="1" t="s">
        <v>255</v>
      </c>
      <c r="E510" s="2" t="s">
        <v>2393</v>
      </c>
      <c r="F510" s="2" t="s">
        <v>1994</v>
      </c>
      <c r="G510" s="6">
        <v>140</v>
      </c>
      <c r="H510" s="8">
        <f t="shared" si="16"/>
        <v>120.68965517241381</v>
      </c>
      <c r="I510" s="2">
        <v>16</v>
      </c>
      <c r="J510" s="2">
        <f t="shared" si="15"/>
        <v>0.71</v>
      </c>
      <c r="K510" t="s">
        <v>1595</v>
      </c>
      <c r="L510">
        <v>4</v>
      </c>
      <c r="M510">
        <v>35</v>
      </c>
      <c r="N510">
        <v>35</v>
      </c>
      <c r="O510">
        <v>0</v>
      </c>
      <c r="P510">
        <v>140</v>
      </c>
      <c r="Q510">
        <v>4</v>
      </c>
      <c r="R510">
        <v>140</v>
      </c>
      <c r="S510" t="s">
        <v>24</v>
      </c>
      <c r="T510" t="s">
        <v>24</v>
      </c>
      <c r="U510" t="s">
        <v>24</v>
      </c>
      <c r="V510" t="s">
        <v>25</v>
      </c>
      <c r="W510" t="s">
        <v>1595</v>
      </c>
      <c r="X510" t="s">
        <v>26</v>
      </c>
      <c r="Y510" t="s">
        <v>24</v>
      </c>
    </row>
    <row r="511" spans="1:25" x14ac:dyDescent="0.35">
      <c r="A511" s="1" t="s">
        <v>1596</v>
      </c>
      <c r="B511" s="1" t="s">
        <v>1597</v>
      </c>
      <c r="C511" s="1" t="s">
        <v>392</v>
      </c>
      <c r="D511" s="1" t="s">
        <v>393</v>
      </c>
      <c r="E511" s="2" t="s">
        <v>2394</v>
      </c>
      <c r="F511" s="2" t="s">
        <v>1975</v>
      </c>
      <c r="G511" s="6">
        <v>980</v>
      </c>
      <c r="H511" s="8">
        <f t="shared" si="16"/>
        <v>844.82758620689663</v>
      </c>
      <c r="I511" s="2">
        <v>16</v>
      </c>
      <c r="J511" s="2">
        <f t="shared" si="15"/>
        <v>0.7455102040816326</v>
      </c>
      <c r="K511" t="s">
        <v>1598</v>
      </c>
      <c r="L511">
        <v>1</v>
      </c>
      <c r="M511">
        <v>215</v>
      </c>
      <c r="N511">
        <v>215</v>
      </c>
      <c r="O511">
        <v>0</v>
      </c>
      <c r="P511">
        <v>215</v>
      </c>
      <c r="Q511">
        <v>1</v>
      </c>
      <c r="R511">
        <v>215</v>
      </c>
      <c r="S511" t="s">
        <v>24</v>
      </c>
      <c r="T511" t="s">
        <v>24</v>
      </c>
      <c r="U511" t="s">
        <v>24</v>
      </c>
      <c r="V511" t="s">
        <v>25</v>
      </c>
      <c r="W511" t="s">
        <v>1598</v>
      </c>
      <c r="X511" t="s">
        <v>26</v>
      </c>
      <c r="Y511" t="s">
        <v>24</v>
      </c>
    </row>
    <row r="512" spans="1:25" x14ac:dyDescent="0.35">
      <c r="A512" s="1" t="s">
        <v>1599</v>
      </c>
      <c r="B512" s="1" t="s">
        <v>1600</v>
      </c>
      <c r="C512" s="1" t="s">
        <v>387</v>
      </c>
      <c r="D512" s="1" t="s">
        <v>388</v>
      </c>
      <c r="E512" s="2" t="s">
        <v>2395</v>
      </c>
      <c r="F512" s="2" t="s">
        <v>1994</v>
      </c>
      <c r="G512" s="6">
        <v>180</v>
      </c>
      <c r="H512" s="8">
        <f t="shared" si="16"/>
        <v>155.17241379310346</v>
      </c>
      <c r="I512" s="2">
        <v>16</v>
      </c>
      <c r="J512" s="2">
        <f t="shared" si="15"/>
        <v>0.79604235555555558</v>
      </c>
      <c r="K512" t="s">
        <v>1601</v>
      </c>
      <c r="L512">
        <v>23</v>
      </c>
      <c r="M512">
        <v>31.648599999999998</v>
      </c>
      <c r="N512">
        <v>31.648599999999998</v>
      </c>
      <c r="O512">
        <v>0</v>
      </c>
      <c r="P512">
        <v>727.91780000000006</v>
      </c>
      <c r="Q512">
        <v>23</v>
      </c>
      <c r="R512">
        <v>727.92</v>
      </c>
      <c r="S512" t="s">
        <v>24</v>
      </c>
      <c r="T512" t="s">
        <v>24</v>
      </c>
      <c r="U512" t="s">
        <v>24</v>
      </c>
      <c r="V512" t="s">
        <v>25</v>
      </c>
      <c r="W512" t="s">
        <v>1601</v>
      </c>
      <c r="X512" t="s">
        <v>26</v>
      </c>
      <c r="Y512" t="s">
        <v>24</v>
      </c>
    </row>
    <row r="513" spans="1:25" x14ac:dyDescent="0.35">
      <c r="A513" s="1" t="s">
        <v>1602</v>
      </c>
      <c r="B513" s="1" t="s">
        <v>1603</v>
      </c>
      <c r="C513" s="1" t="s">
        <v>249</v>
      </c>
      <c r="D513" s="1" t="s">
        <v>250</v>
      </c>
      <c r="E513" s="2" t="s">
        <v>2396</v>
      </c>
      <c r="F513" s="2" t="s">
        <v>1994</v>
      </c>
      <c r="G513" s="6">
        <v>140</v>
      </c>
      <c r="H513" s="8">
        <f t="shared" si="16"/>
        <v>120.68965517241381</v>
      </c>
      <c r="I513" s="2">
        <v>16</v>
      </c>
      <c r="J513" s="2">
        <f t="shared" si="15"/>
        <v>0.81771428571428573</v>
      </c>
      <c r="K513" t="s">
        <v>1604</v>
      </c>
      <c r="L513">
        <v>6</v>
      </c>
      <c r="M513">
        <v>22</v>
      </c>
      <c r="N513">
        <v>22</v>
      </c>
      <c r="O513">
        <v>0</v>
      </c>
      <c r="P513">
        <v>132</v>
      </c>
      <c r="Q513">
        <v>6</v>
      </c>
      <c r="R513">
        <v>132</v>
      </c>
      <c r="S513" t="s">
        <v>24</v>
      </c>
      <c r="T513" t="s">
        <v>24</v>
      </c>
      <c r="U513" t="s">
        <v>24</v>
      </c>
      <c r="V513" t="s">
        <v>25</v>
      </c>
      <c r="W513" t="s">
        <v>1604</v>
      </c>
      <c r="X513" t="s">
        <v>26</v>
      </c>
      <c r="Y513" t="s">
        <v>24</v>
      </c>
    </row>
    <row r="514" spans="1:25" x14ac:dyDescent="0.35">
      <c r="A514" s="1" t="s">
        <v>1605</v>
      </c>
      <c r="B514" s="1" t="s">
        <v>1606</v>
      </c>
      <c r="C514" s="1" t="s">
        <v>249</v>
      </c>
      <c r="D514" s="1" t="s">
        <v>250</v>
      </c>
      <c r="E514" s="2" t="s">
        <v>2397</v>
      </c>
      <c r="F514" s="2" t="s">
        <v>1994</v>
      </c>
      <c r="G514" s="6">
        <v>140</v>
      </c>
      <c r="H514" s="8">
        <f t="shared" si="16"/>
        <v>120.68965517241381</v>
      </c>
      <c r="I514" s="2">
        <v>16</v>
      </c>
      <c r="J514" s="2">
        <f t="shared" si="15"/>
        <v>0.81771428571428573</v>
      </c>
      <c r="K514" t="s">
        <v>1607</v>
      </c>
      <c r="L514">
        <v>16</v>
      </c>
      <c r="M514">
        <v>22</v>
      </c>
      <c r="N514">
        <v>22</v>
      </c>
      <c r="O514">
        <v>0</v>
      </c>
      <c r="P514">
        <v>352</v>
      </c>
      <c r="Q514">
        <v>16</v>
      </c>
      <c r="R514">
        <v>352</v>
      </c>
      <c r="S514" t="s">
        <v>24</v>
      </c>
      <c r="T514" t="s">
        <v>24</v>
      </c>
      <c r="U514" t="s">
        <v>24</v>
      </c>
      <c r="V514" t="s">
        <v>25</v>
      </c>
      <c r="W514" t="s">
        <v>1607</v>
      </c>
      <c r="X514" t="s">
        <v>26</v>
      </c>
      <c r="Y514" t="s">
        <v>24</v>
      </c>
    </row>
    <row r="515" spans="1:25" x14ac:dyDescent="0.35">
      <c r="A515" s="1" t="s">
        <v>1608</v>
      </c>
      <c r="B515" s="1" t="s">
        <v>1609</v>
      </c>
      <c r="C515" s="1" t="s">
        <v>453</v>
      </c>
      <c r="D515" s="1" t="s">
        <v>454</v>
      </c>
      <c r="E515" s="2" t="s">
        <v>2398</v>
      </c>
      <c r="F515" s="2" t="s">
        <v>1994</v>
      </c>
      <c r="G515" s="6">
        <v>280</v>
      </c>
      <c r="H515" s="8">
        <f t="shared" si="16"/>
        <v>241.37931034482762</v>
      </c>
      <c r="I515" s="2">
        <v>16</v>
      </c>
      <c r="J515" s="2">
        <f t="shared" ref="J515:J578" si="17">1-M515/H515</f>
        <v>0.68091714285714289</v>
      </c>
      <c r="K515" t="s">
        <v>1610</v>
      </c>
      <c r="L515">
        <v>28</v>
      </c>
      <c r="M515">
        <v>77.02</v>
      </c>
      <c r="N515">
        <v>77.02</v>
      </c>
      <c r="O515">
        <v>0</v>
      </c>
      <c r="P515">
        <v>2156.56</v>
      </c>
      <c r="Q515">
        <v>28</v>
      </c>
      <c r="R515">
        <v>2156.56</v>
      </c>
      <c r="S515" t="s">
        <v>24</v>
      </c>
      <c r="T515" t="s">
        <v>24</v>
      </c>
      <c r="U515" t="s">
        <v>24</v>
      </c>
      <c r="V515" t="s">
        <v>25</v>
      </c>
      <c r="W515" t="s">
        <v>1610</v>
      </c>
      <c r="X515" t="s">
        <v>26</v>
      </c>
      <c r="Y515" t="s">
        <v>24</v>
      </c>
    </row>
    <row r="516" spans="1:25" x14ac:dyDescent="0.35">
      <c r="A516" s="1" t="s">
        <v>1611</v>
      </c>
      <c r="B516" s="1" t="s">
        <v>1612</v>
      </c>
      <c r="C516" s="1" t="s">
        <v>1613</v>
      </c>
      <c r="D516" s="1" t="s">
        <v>1614</v>
      </c>
      <c r="E516" s="2" t="s">
        <v>2399</v>
      </c>
      <c r="F516" s="2" t="s">
        <v>1994</v>
      </c>
      <c r="G516" s="6">
        <v>140</v>
      </c>
      <c r="H516" s="8">
        <f t="shared" ref="H516:H579" si="18">+G516/(1+I516/100)</f>
        <v>120.68965517241381</v>
      </c>
      <c r="I516" s="2">
        <v>16</v>
      </c>
      <c r="J516" s="2">
        <f t="shared" si="17"/>
        <v>0.71</v>
      </c>
      <c r="K516" t="s">
        <v>1615</v>
      </c>
      <c r="L516">
        <v>1</v>
      </c>
      <c r="M516">
        <v>35</v>
      </c>
      <c r="N516">
        <v>35</v>
      </c>
      <c r="O516">
        <v>0</v>
      </c>
      <c r="P516">
        <v>35</v>
      </c>
      <c r="Q516">
        <v>1</v>
      </c>
      <c r="R516">
        <v>35</v>
      </c>
      <c r="S516" t="s">
        <v>24</v>
      </c>
      <c r="T516" t="s">
        <v>24</v>
      </c>
      <c r="U516" t="s">
        <v>24</v>
      </c>
      <c r="V516" t="s">
        <v>25</v>
      </c>
      <c r="W516" t="s">
        <v>1615</v>
      </c>
      <c r="X516" t="s">
        <v>26</v>
      </c>
      <c r="Y516" t="s">
        <v>24</v>
      </c>
    </row>
    <row r="517" spans="1:25" x14ac:dyDescent="0.35">
      <c r="A517" s="1" t="s">
        <v>1616</v>
      </c>
      <c r="B517" s="1" t="s">
        <v>1617</v>
      </c>
      <c r="C517" s="1" t="s">
        <v>641</v>
      </c>
      <c r="D517" s="1" t="s">
        <v>642</v>
      </c>
      <c r="E517" s="2" t="s">
        <v>2400</v>
      </c>
      <c r="F517" s="2" t="s">
        <v>1994</v>
      </c>
      <c r="G517" s="6">
        <v>1180</v>
      </c>
      <c r="H517" s="8">
        <f t="shared" si="18"/>
        <v>1017.2413793103449</v>
      </c>
      <c r="I517" s="2">
        <v>16</v>
      </c>
      <c r="J517" s="2">
        <f t="shared" si="17"/>
        <v>0.80338983050847457</v>
      </c>
      <c r="K517" t="s">
        <v>1618</v>
      </c>
      <c r="L517">
        <v>3</v>
      </c>
      <c r="M517">
        <v>200</v>
      </c>
      <c r="N517">
        <v>200</v>
      </c>
      <c r="O517">
        <v>0</v>
      </c>
      <c r="P517">
        <v>600</v>
      </c>
      <c r="Q517">
        <v>3</v>
      </c>
      <c r="R517">
        <v>600</v>
      </c>
      <c r="S517" t="s">
        <v>24</v>
      </c>
      <c r="T517" t="s">
        <v>24</v>
      </c>
      <c r="U517" t="s">
        <v>24</v>
      </c>
      <c r="V517" t="s">
        <v>25</v>
      </c>
      <c r="W517" t="s">
        <v>1618</v>
      </c>
      <c r="X517" t="s">
        <v>26</v>
      </c>
      <c r="Y517" t="s">
        <v>24</v>
      </c>
    </row>
    <row r="518" spans="1:25" x14ac:dyDescent="0.35">
      <c r="A518" s="1" t="s">
        <v>1619</v>
      </c>
      <c r="B518" s="1" t="s">
        <v>1620</v>
      </c>
      <c r="C518" s="1" t="s">
        <v>254</v>
      </c>
      <c r="D518" s="1" t="s">
        <v>255</v>
      </c>
      <c r="E518" s="2" t="s">
        <v>2401</v>
      </c>
      <c r="F518" s="2" t="s">
        <v>1994</v>
      </c>
      <c r="G518" s="6">
        <v>440</v>
      </c>
      <c r="H518" s="8">
        <f t="shared" si="18"/>
        <v>379.31034482758622</v>
      </c>
      <c r="I518" s="2">
        <v>16</v>
      </c>
      <c r="J518" s="2">
        <f t="shared" si="17"/>
        <v>0.71</v>
      </c>
      <c r="K518" t="s">
        <v>1621</v>
      </c>
      <c r="L518">
        <v>1</v>
      </c>
      <c r="M518">
        <v>110</v>
      </c>
      <c r="N518">
        <v>110</v>
      </c>
      <c r="O518">
        <v>0</v>
      </c>
      <c r="P518">
        <v>110</v>
      </c>
      <c r="Q518">
        <v>1</v>
      </c>
      <c r="R518">
        <v>110</v>
      </c>
      <c r="S518" t="s">
        <v>24</v>
      </c>
      <c r="T518" t="s">
        <v>24</v>
      </c>
      <c r="U518" t="s">
        <v>24</v>
      </c>
      <c r="V518" t="s">
        <v>25</v>
      </c>
      <c r="W518" t="s">
        <v>1621</v>
      </c>
      <c r="X518" t="s">
        <v>26</v>
      </c>
      <c r="Y518" t="s">
        <v>24</v>
      </c>
    </row>
    <row r="519" spans="1:25" x14ac:dyDescent="0.35">
      <c r="A519" s="1" t="s">
        <v>426</v>
      </c>
      <c r="B519" s="1" t="s">
        <v>427</v>
      </c>
      <c r="C519" s="1" t="s">
        <v>315</v>
      </c>
      <c r="D519" s="1" t="s">
        <v>316</v>
      </c>
      <c r="E519" s="2" t="s">
        <v>2028</v>
      </c>
      <c r="F519" s="2" t="s">
        <v>1994</v>
      </c>
      <c r="G519" s="6">
        <v>200</v>
      </c>
      <c r="H519" s="8">
        <f t="shared" si="18"/>
        <v>172.41379310344828</v>
      </c>
      <c r="I519" s="2">
        <v>16</v>
      </c>
      <c r="J519" s="2">
        <f t="shared" si="17"/>
        <v>0.71579999999999999</v>
      </c>
      <c r="K519" t="s">
        <v>1622</v>
      </c>
      <c r="L519">
        <v>9</v>
      </c>
      <c r="M519">
        <v>49</v>
      </c>
      <c r="N519">
        <v>49</v>
      </c>
      <c r="O519">
        <v>0</v>
      </c>
      <c r="P519">
        <v>441</v>
      </c>
      <c r="Q519">
        <v>9</v>
      </c>
      <c r="R519">
        <v>441</v>
      </c>
      <c r="S519" t="s">
        <v>24</v>
      </c>
      <c r="T519" t="s">
        <v>24</v>
      </c>
      <c r="U519" t="s">
        <v>24</v>
      </c>
      <c r="V519" t="s">
        <v>25</v>
      </c>
      <c r="W519" t="s">
        <v>1622</v>
      </c>
      <c r="X519" t="s">
        <v>26</v>
      </c>
      <c r="Y519" t="s">
        <v>24</v>
      </c>
    </row>
    <row r="520" spans="1:25" x14ac:dyDescent="0.35">
      <c r="A520" s="1" t="s">
        <v>429</v>
      </c>
      <c r="B520" s="1" t="s">
        <v>430</v>
      </c>
      <c r="C520" s="1" t="s">
        <v>315</v>
      </c>
      <c r="D520" s="1" t="s">
        <v>316</v>
      </c>
      <c r="E520" s="2" t="s">
        <v>2029</v>
      </c>
      <c r="F520" s="2" t="s">
        <v>1994</v>
      </c>
      <c r="G520" s="6">
        <v>1180</v>
      </c>
      <c r="H520" s="8">
        <f t="shared" si="18"/>
        <v>1017.2413793103449</v>
      </c>
      <c r="I520" s="2">
        <v>16</v>
      </c>
      <c r="J520" s="2">
        <f t="shared" si="17"/>
        <v>0.75531864406779659</v>
      </c>
      <c r="K520" t="s">
        <v>1623</v>
      </c>
      <c r="L520">
        <v>2</v>
      </c>
      <c r="M520">
        <v>248.9</v>
      </c>
      <c r="N520">
        <v>248.9</v>
      </c>
      <c r="O520">
        <v>0</v>
      </c>
      <c r="P520">
        <v>497.8</v>
      </c>
      <c r="Q520">
        <v>2</v>
      </c>
      <c r="R520">
        <v>497.8</v>
      </c>
      <c r="S520" t="s">
        <v>24</v>
      </c>
      <c r="T520" t="s">
        <v>24</v>
      </c>
      <c r="U520" t="s">
        <v>24</v>
      </c>
      <c r="V520" t="s">
        <v>25</v>
      </c>
      <c r="W520" t="s">
        <v>1623</v>
      </c>
      <c r="X520" t="s">
        <v>26</v>
      </c>
      <c r="Y520" t="s">
        <v>24</v>
      </c>
    </row>
    <row r="521" spans="1:25" x14ac:dyDescent="0.35">
      <c r="A521" s="1" t="s">
        <v>1624</v>
      </c>
      <c r="B521" s="1" t="s">
        <v>1625</v>
      </c>
      <c r="C521" s="1" t="s">
        <v>265</v>
      </c>
      <c r="D521" s="1" t="s">
        <v>266</v>
      </c>
      <c r="E521" s="2" t="s">
        <v>2402</v>
      </c>
      <c r="F521" s="2" t="s">
        <v>1994</v>
      </c>
      <c r="G521" s="6">
        <v>380</v>
      </c>
      <c r="H521" s="8">
        <f t="shared" si="18"/>
        <v>327.58620689655174</v>
      </c>
      <c r="I521" s="2">
        <v>16</v>
      </c>
      <c r="J521" s="2">
        <f t="shared" si="17"/>
        <v>0.81477761052631581</v>
      </c>
      <c r="K521" t="s">
        <v>1626</v>
      </c>
      <c r="L521">
        <v>23</v>
      </c>
      <c r="M521">
        <v>60.676299999999998</v>
      </c>
      <c r="N521">
        <v>60.676299999999998</v>
      </c>
      <c r="O521">
        <v>0</v>
      </c>
      <c r="P521">
        <v>1395.5549000000001</v>
      </c>
      <c r="Q521">
        <v>23</v>
      </c>
      <c r="R521">
        <v>1395.55</v>
      </c>
      <c r="S521" t="s">
        <v>24</v>
      </c>
      <c r="T521" t="s">
        <v>24</v>
      </c>
      <c r="U521" t="s">
        <v>24</v>
      </c>
      <c r="V521" t="s">
        <v>25</v>
      </c>
      <c r="W521" t="s">
        <v>1626</v>
      </c>
      <c r="X521" t="s">
        <v>26</v>
      </c>
      <c r="Y521" t="s">
        <v>24</v>
      </c>
    </row>
    <row r="522" spans="1:25" x14ac:dyDescent="0.35">
      <c r="A522" s="1" t="s">
        <v>1627</v>
      </c>
      <c r="B522" s="1" t="s">
        <v>1628</v>
      </c>
      <c r="C522" s="1" t="s">
        <v>387</v>
      </c>
      <c r="D522" s="1" t="s">
        <v>388</v>
      </c>
      <c r="E522" s="2" t="s">
        <v>2403</v>
      </c>
      <c r="F522" s="2" t="s">
        <v>1994</v>
      </c>
      <c r="G522" s="6">
        <v>300</v>
      </c>
      <c r="H522" s="8">
        <f t="shared" si="18"/>
        <v>258.62068965517244</v>
      </c>
      <c r="I522" s="2">
        <v>16</v>
      </c>
      <c r="J522" s="2">
        <f t="shared" si="17"/>
        <v>0.65200000000000002</v>
      </c>
      <c r="K522" t="s">
        <v>1629</v>
      </c>
      <c r="L522">
        <v>1</v>
      </c>
      <c r="M522">
        <v>90</v>
      </c>
      <c r="N522">
        <v>90</v>
      </c>
      <c r="O522">
        <v>0</v>
      </c>
      <c r="P522">
        <v>90</v>
      </c>
      <c r="Q522">
        <v>1</v>
      </c>
      <c r="R522">
        <v>90</v>
      </c>
      <c r="S522" t="s">
        <v>24</v>
      </c>
      <c r="T522" t="s">
        <v>24</v>
      </c>
      <c r="U522" t="s">
        <v>24</v>
      </c>
      <c r="V522" t="s">
        <v>25</v>
      </c>
      <c r="W522" t="s">
        <v>1629</v>
      </c>
      <c r="X522" t="s">
        <v>26</v>
      </c>
      <c r="Y522" t="s">
        <v>24</v>
      </c>
    </row>
    <row r="523" spans="1:25" x14ac:dyDescent="0.35">
      <c r="A523" s="1" t="s">
        <v>1630</v>
      </c>
      <c r="B523" s="1" t="s">
        <v>1631</v>
      </c>
      <c r="C523" s="1" t="s">
        <v>387</v>
      </c>
      <c r="D523" s="1" t="s">
        <v>388</v>
      </c>
      <c r="E523" s="2" t="s">
        <v>2404</v>
      </c>
      <c r="F523" s="2" t="s">
        <v>1994</v>
      </c>
      <c r="G523" s="6">
        <v>840</v>
      </c>
      <c r="H523" s="8">
        <f t="shared" si="18"/>
        <v>724.13793103448279</v>
      </c>
      <c r="I523" s="2">
        <v>16</v>
      </c>
      <c r="J523" s="2">
        <f t="shared" si="17"/>
        <v>0.78042857142857147</v>
      </c>
      <c r="K523" t="s">
        <v>1632</v>
      </c>
      <c r="L523">
        <v>2</v>
      </c>
      <c r="M523">
        <v>159</v>
      </c>
      <c r="N523">
        <v>159</v>
      </c>
      <c r="O523">
        <v>0</v>
      </c>
      <c r="P523">
        <v>318</v>
      </c>
      <c r="Q523">
        <v>2</v>
      </c>
      <c r="R523">
        <v>318</v>
      </c>
      <c r="S523" t="s">
        <v>24</v>
      </c>
      <c r="T523" t="s">
        <v>24</v>
      </c>
      <c r="U523" t="s">
        <v>24</v>
      </c>
      <c r="V523" t="s">
        <v>25</v>
      </c>
      <c r="W523" t="s">
        <v>1632</v>
      </c>
      <c r="X523" t="s">
        <v>26</v>
      </c>
      <c r="Y523" t="s">
        <v>24</v>
      </c>
    </row>
    <row r="524" spans="1:25" x14ac:dyDescent="0.35">
      <c r="A524" s="1" t="s">
        <v>1633</v>
      </c>
      <c r="B524" s="1" t="s">
        <v>1634</v>
      </c>
      <c r="C524" s="1" t="s">
        <v>403</v>
      </c>
      <c r="D524" s="1" t="s">
        <v>404</v>
      </c>
      <c r="E524" s="2" t="s">
        <v>2405</v>
      </c>
      <c r="F524" s="2" t="s">
        <v>1994</v>
      </c>
      <c r="G524" s="6">
        <v>400</v>
      </c>
      <c r="H524" s="8">
        <f t="shared" si="18"/>
        <v>344.82758620689657</v>
      </c>
      <c r="I524" s="2">
        <v>16</v>
      </c>
      <c r="J524" s="2">
        <f t="shared" si="17"/>
        <v>0.69550000000000001</v>
      </c>
      <c r="K524" t="s">
        <v>1635</v>
      </c>
      <c r="L524">
        <v>1</v>
      </c>
      <c r="M524">
        <v>105</v>
      </c>
      <c r="N524">
        <v>105</v>
      </c>
      <c r="O524">
        <v>0</v>
      </c>
      <c r="P524">
        <v>105</v>
      </c>
      <c r="Q524">
        <v>1</v>
      </c>
      <c r="R524">
        <v>105</v>
      </c>
      <c r="S524" t="s">
        <v>24</v>
      </c>
      <c r="T524" t="s">
        <v>24</v>
      </c>
      <c r="U524" t="s">
        <v>24</v>
      </c>
      <c r="V524" t="s">
        <v>25</v>
      </c>
      <c r="W524" t="s">
        <v>1635</v>
      </c>
      <c r="X524" t="s">
        <v>26</v>
      </c>
      <c r="Y524" t="s">
        <v>24</v>
      </c>
    </row>
    <row r="525" spans="1:25" x14ac:dyDescent="0.35">
      <c r="A525" s="1" t="s">
        <v>1636</v>
      </c>
      <c r="B525" s="1" t="s">
        <v>1637</v>
      </c>
      <c r="C525" s="1" t="s">
        <v>387</v>
      </c>
      <c r="D525" s="1" t="s">
        <v>388</v>
      </c>
      <c r="E525" s="2" t="s">
        <v>2406</v>
      </c>
      <c r="F525" s="2" t="s">
        <v>1994</v>
      </c>
      <c r="G525" s="6">
        <v>240</v>
      </c>
      <c r="H525" s="8">
        <f t="shared" si="18"/>
        <v>206.89655172413794</v>
      </c>
      <c r="I525" s="2">
        <v>16</v>
      </c>
      <c r="J525" s="2">
        <f t="shared" si="17"/>
        <v>0.7583333333333333</v>
      </c>
      <c r="K525" t="s">
        <v>1638</v>
      </c>
      <c r="L525">
        <v>5</v>
      </c>
      <c r="M525">
        <v>50</v>
      </c>
      <c r="N525">
        <v>50</v>
      </c>
      <c r="O525">
        <v>0</v>
      </c>
      <c r="P525">
        <v>250</v>
      </c>
      <c r="Q525">
        <v>5</v>
      </c>
      <c r="R525">
        <v>250</v>
      </c>
      <c r="S525" t="s">
        <v>24</v>
      </c>
      <c r="T525" t="s">
        <v>24</v>
      </c>
      <c r="U525" t="s">
        <v>24</v>
      </c>
      <c r="V525" t="s">
        <v>25</v>
      </c>
      <c r="W525" t="s">
        <v>1638</v>
      </c>
      <c r="X525" t="s">
        <v>26</v>
      </c>
      <c r="Y525" t="s">
        <v>24</v>
      </c>
    </row>
    <row r="526" spans="1:25" x14ac:dyDescent="0.35">
      <c r="A526" s="1" t="s">
        <v>1639</v>
      </c>
      <c r="B526" s="1" t="s">
        <v>1640</v>
      </c>
      <c r="C526" s="1" t="s">
        <v>249</v>
      </c>
      <c r="D526" s="1" t="s">
        <v>250</v>
      </c>
      <c r="E526" s="2" t="s">
        <v>2407</v>
      </c>
      <c r="F526" s="2" t="s">
        <v>1994</v>
      </c>
      <c r="G526" s="6">
        <v>980</v>
      </c>
      <c r="H526" s="8">
        <f t="shared" si="18"/>
        <v>844.82758620689663</v>
      </c>
      <c r="I526" s="2">
        <v>16</v>
      </c>
      <c r="J526" s="2">
        <f t="shared" si="17"/>
        <v>0.82836734693877556</v>
      </c>
      <c r="K526" t="s">
        <v>1641</v>
      </c>
      <c r="L526">
        <v>4</v>
      </c>
      <c r="M526">
        <v>145</v>
      </c>
      <c r="N526">
        <v>145</v>
      </c>
      <c r="O526">
        <v>0</v>
      </c>
      <c r="P526">
        <v>580</v>
      </c>
      <c r="Q526">
        <v>4</v>
      </c>
      <c r="R526">
        <v>580</v>
      </c>
      <c r="S526" t="s">
        <v>24</v>
      </c>
      <c r="T526" t="s">
        <v>24</v>
      </c>
      <c r="U526" t="s">
        <v>24</v>
      </c>
      <c r="V526" t="s">
        <v>25</v>
      </c>
      <c r="W526" t="s">
        <v>1641</v>
      </c>
      <c r="X526" t="s">
        <v>26</v>
      </c>
      <c r="Y526" t="s">
        <v>24</v>
      </c>
    </row>
    <row r="527" spans="1:25" x14ac:dyDescent="0.35">
      <c r="A527" s="1" t="s">
        <v>1642</v>
      </c>
      <c r="B527" s="1" t="s">
        <v>1643</v>
      </c>
      <c r="C527" s="1" t="s">
        <v>249</v>
      </c>
      <c r="D527" s="1" t="s">
        <v>250</v>
      </c>
      <c r="E527" s="2" t="s">
        <v>2408</v>
      </c>
      <c r="F527" s="2" t="s">
        <v>1994</v>
      </c>
      <c r="G527" s="6">
        <v>300</v>
      </c>
      <c r="H527" s="8">
        <f t="shared" si="18"/>
        <v>258.62068965517244</v>
      </c>
      <c r="I527" s="2">
        <v>16</v>
      </c>
      <c r="J527" s="2">
        <f t="shared" si="17"/>
        <v>0.67133333333333334</v>
      </c>
      <c r="K527" t="s">
        <v>1644</v>
      </c>
      <c r="L527">
        <v>2</v>
      </c>
      <c r="M527">
        <v>85</v>
      </c>
      <c r="N527">
        <v>85</v>
      </c>
      <c r="O527">
        <v>0</v>
      </c>
      <c r="P527">
        <v>170</v>
      </c>
      <c r="Q527">
        <v>2</v>
      </c>
      <c r="R527">
        <v>170</v>
      </c>
      <c r="S527" t="s">
        <v>24</v>
      </c>
      <c r="T527" t="s">
        <v>24</v>
      </c>
      <c r="U527" t="s">
        <v>24</v>
      </c>
      <c r="V527" t="s">
        <v>25</v>
      </c>
      <c r="W527" t="s">
        <v>1644</v>
      </c>
      <c r="X527" t="s">
        <v>26</v>
      </c>
      <c r="Y527" t="s">
        <v>24</v>
      </c>
    </row>
    <row r="528" spans="1:25" x14ac:dyDescent="0.35">
      <c r="A528" s="1" t="s">
        <v>1645</v>
      </c>
      <c r="B528" s="1" t="s">
        <v>1646</v>
      </c>
      <c r="C528" s="1" t="s">
        <v>664</v>
      </c>
      <c r="D528" s="1" t="s">
        <v>665</v>
      </c>
      <c r="E528" s="2" t="s">
        <v>2409</v>
      </c>
      <c r="F528" s="2" t="s">
        <v>1994</v>
      </c>
      <c r="G528" s="6">
        <v>160</v>
      </c>
      <c r="H528" s="8">
        <f t="shared" si="18"/>
        <v>137.93103448275863</v>
      </c>
      <c r="I528" s="2">
        <v>16</v>
      </c>
      <c r="J528" s="2">
        <f t="shared" si="17"/>
        <v>0.69550000000000001</v>
      </c>
      <c r="K528" t="s">
        <v>1647</v>
      </c>
      <c r="L528">
        <v>10</v>
      </c>
      <c r="M528">
        <v>42</v>
      </c>
      <c r="N528">
        <v>42</v>
      </c>
      <c r="O528">
        <v>0</v>
      </c>
      <c r="P528">
        <v>420</v>
      </c>
      <c r="Q528">
        <v>10</v>
      </c>
      <c r="R528">
        <v>420</v>
      </c>
      <c r="S528" t="s">
        <v>24</v>
      </c>
      <c r="T528" t="s">
        <v>24</v>
      </c>
      <c r="U528" t="s">
        <v>24</v>
      </c>
      <c r="V528" t="s">
        <v>25</v>
      </c>
      <c r="W528" t="s">
        <v>1647</v>
      </c>
      <c r="X528" t="s">
        <v>26</v>
      </c>
      <c r="Y528" t="s">
        <v>24</v>
      </c>
    </row>
    <row r="529" spans="1:25" x14ac:dyDescent="0.35">
      <c r="A529" s="1" t="s">
        <v>1648</v>
      </c>
      <c r="B529" s="1" t="s">
        <v>1649</v>
      </c>
      <c r="C529" s="1" t="s">
        <v>265</v>
      </c>
      <c r="D529" s="1" t="s">
        <v>266</v>
      </c>
      <c r="E529" s="2" t="s">
        <v>2410</v>
      </c>
      <c r="F529" s="2" t="s">
        <v>1994</v>
      </c>
      <c r="G529" s="6">
        <v>140</v>
      </c>
      <c r="H529" s="8">
        <f t="shared" si="18"/>
        <v>120.68965517241381</v>
      </c>
      <c r="I529" s="2">
        <v>16</v>
      </c>
      <c r="J529" s="2">
        <f t="shared" si="17"/>
        <v>0.66857142857142859</v>
      </c>
      <c r="K529" t="s">
        <v>1650</v>
      </c>
      <c r="L529">
        <v>6</v>
      </c>
      <c r="M529">
        <v>40</v>
      </c>
      <c r="N529">
        <v>40</v>
      </c>
      <c r="O529">
        <v>0</v>
      </c>
      <c r="P529">
        <v>240</v>
      </c>
      <c r="Q529">
        <v>6</v>
      </c>
      <c r="R529">
        <v>240</v>
      </c>
      <c r="S529" t="s">
        <v>24</v>
      </c>
      <c r="T529" t="s">
        <v>24</v>
      </c>
      <c r="U529" t="s">
        <v>24</v>
      </c>
      <c r="V529" t="s">
        <v>25</v>
      </c>
      <c r="W529" t="s">
        <v>1650</v>
      </c>
      <c r="X529" t="s">
        <v>26</v>
      </c>
      <c r="Y529" t="s">
        <v>24</v>
      </c>
    </row>
    <row r="530" spans="1:25" x14ac:dyDescent="0.35">
      <c r="A530" s="1" t="s">
        <v>519</v>
      </c>
      <c r="B530" s="1" t="s">
        <v>520</v>
      </c>
      <c r="C530" s="1" t="s">
        <v>387</v>
      </c>
      <c r="D530" s="1" t="s">
        <v>388</v>
      </c>
      <c r="E530" s="2" t="s">
        <v>2055</v>
      </c>
      <c r="F530" s="2" t="s">
        <v>1994</v>
      </c>
      <c r="G530" s="6">
        <v>440</v>
      </c>
      <c r="H530" s="8">
        <f t="shared" si="18"/>
        <v>379.31034482758622</v>
      </c>
      <c r="I530" s="2">
        <v>16</v>
      </c>
      <c r="J530" s="2">
        <f t="shared" si="17"/>
        <v>0.77854545454545454</v>
      </c>
      <c r="K530" t="s">
        <v>1651</v>
      </c>
      <c r="L530">
        <v>4</v>
      </c>
      <c r="M530">
        <v>84</v>
      </c>
      <c r="N530">
        <v>84</v>
      </c>
      <c r="O530">
        <v>0</v>
      </c>
      <c r="P530">
        <v>336</v>
      </c>
      <c r="Q530">
        <v>4</v>
      </c>
      <c r="R530">
        <v>336</v>
      </c>
      <c r="S530" t="s">
        <v>24</v>
      </c>
      <c r="T530" t="s">
        <v>24</v>
      </c>
      <c r="U530" t="s">
        <v>24</v>
      </c>
      <c r="V530" t="s">
        <v>25</v>
      </c>
      <c r="W530" t="s">
        <v>1651</v>
      </c>
      <c r="X530" t="s">
        <v>26</v>
      </c>
      <c r="Y530" t="s">
        <v>24</v>
      </c>
    </row>
    <row r="531" spans="1:25" x14ac:dyDescent="0.35">
      <c r="A531" s="1" t="s">
        <v>1652</v>
      </c>
      <c r="B531" s="1" t="s">
        <v>1653</v>
      </c>
      <c r="C531" s="1" t="s">
        <v>453</v>
      </c>
      <c r="D531" s="1" t="s">
        <v>454</v>
      </c>
      <c r="E531" s="2" t="s">
        <v>2411</v>
      </c>
      <c r="F531" s="2" t="s">
        <v>1994</v>
      </c>
      <c r="G531" s="6">
        <v>580</v>
      </c>
      <c r="H531" s="8">
        <f t="shared" si="18"/>
        <v>500.00000000000006</v>
      </c>
      <c r="I531" s="2">
        <v>16</v>
      </c>
      <c r="J531" s="2">
        <f t="shared" si="17"/>
        <v>0.73</v>
      </c>
      <c r="K531" t="s">
        <v>1654</v>
      </c>
      <c r="L531">
        <v>2</v>
      </c>
      <c r="M531">
        <v>135</v>
      </c>
      <c r="N531">
        <v>135</v>
      </c>
      <c r="O531">
        <v>0</v>
      </c>
      <c r="P531">
        <v>270</v>
      </c>
      <c r="Q531">
        <v>2</v>
      </c>
      <c r="R531">
        <v>270</v>
      </c>
      <c r="S531" t="s">
        <v>24</v>
      </c>
      <c r="T531" t="s">
        <v>24</v>
      </c>
      <c r="U531" t="s">
        <v>24</v>
      </c>
      <c r="V531" t="s">
        <v>25</v>
      </c>
      <c r="W531" t="s">
        <v>1654</v>
      </c>
      <c r="X531" t="s">
        <v>26</v>
      </c>
      <c r="Y531" t="s">
        <v>24</v>
      </c>
    </row>
    <row r="532" spans="1:25" x14ac:dyDescent="0.35">
      <c r="A532" s="1" t="s">
        <v>1655</v>
      </c>
      <c r="B532" s="1" t="s">
        <v>1656</v>
      </c>
      <c r="C532" s="1" t="s">
        <v>265</v>
      </c>
      <c r="D532" s="1" t="s">
        <v>266</v>
      </c>
      <c r="E532" s="2" t="s">
        <v>2412</v>
      </c>
      <c r="F532" s="2" t="s">
        <v>2061</v>
      </c>
      <c r="G532" s="6">
        <v>80</v>
      </c>
      <c r="H532" s="8">
        <f t="shared" si="18"/>
        <v>68.965517241379317</v>
      </c>
      <c r="I532" s="2">
        <v>16</v>
      </c>
      <c r="J532" s="2">
        <f t="shared" si="17"/>
        <v>0.55093500000000006</v>
      </c>
      <c r="K532" t="s">
        <v>1657</v>
      </c>
      <c r="L532">
        <v>4</v>
      </c>
      <c r="M532">
        <v>30.97</v>
      </c>
      <c r="N532">
        <v>30.97</v>
      </c>
      <c r="O532">
        <v>0</v>
      </c>
      <c r="P532">
        <v>123.88</v>
      </c>
      <c r="Q532">
        <v>4</v>
      </c>
      <c r="R532">
        <v>123.88</v>
      </c>
      <c r="S532" t="s">
        <v>24</v>
      </c>
      <c r="T532" t="s">
        <v>24</v>
      </c>
      <c r="U532" t="s">
        <v>24</v>
      </c>
      <c r="V532" t="s">
        <v>25</v>
      </c>
      <c r="W532" t="s">
        <v>1657</v>
      </c>
      <c r="X532" t="s">
        <v>26</v>
      </c>
      <c r="Y532" t="s">
        <v>24</v>
      </c>
    </row>
    <row r="533" spans="1:25" x14ac:dyDescent="0.35">
      <c r="A533" s="1" t="s">
        <v>1658</v>
      </c>
      <c r="B533" s="1" t="s">
        <v>1659</v>
      </c>
      <c r="C533" s="1" t="s">
        <v>537</v>
      </c>
      <c r="D533" s="1" t="s">
        <v>538</v>
      </c>
      <c r="E533" s="2" t="s">
        <v>2413</v>
      </c>
      <c r="F533" s="2" t="s">
        <v>2061</v>
      </c>
      <c r="G533" s="6">
        <v>260</v>
      </c>
      <c r="H533" s="8">
        <f t="shared" si="18"/>
        <v>224.13793103448276</v>
      </c>
      <c r="I533" s="2">
        <v>16</v>
      </c>
      <c r="J533" s="2">
        <f t="shared" si="17"/>
        <v>0.79070521538461536</v>
      </c>
      <c r="K533" t="s">
        <v>1660</v>
      </c>
      <c r="L533">
        <v>1</v>
      </c>
      <c r="M533">
        <v>46.910899999999998</v>
      </c>
      <c r="N533">
        <v>46.910899999999998</v>
      </c>
      <c r="O533">
        <v>0</v>
      </c>
      <c r="P533">
        <v>46.910899999999998</v>
      </c>
      <c r="Q533">
        <v>1</v>
      </c>
      <c r="R533">
        <v>46.91</v>
      </c>
      <c r="S533" t="s">
        <v>24</v>
      </c>
      <c r="T533" t="s">
        <v>24</v>
      </c>
      <c r="U533" t="s">
        <v>24</v>
      </c>
      <c r="V533" t="s">
        <v>25</v>
      </c>
      <c r="W533" t="s">
        <v>1660</v>
      </c>
      <c r="X533" t="s">
        <v>26</v>
      </c>
      <c r="Y533" t="s">
        <v>24</v>
      </c>
    </row>
    <row r="534" spans="1:25" x14ac:dyDescent="0.35">
      <c r="A534" s="1" t="s">
        <v>1661</v>
      </c>
      <c r="B534" s="1" t="s">
        <v>1662</v>
      </c>
      <c r="C534" s="1" t="s">
        <v>542</v>
      </c>
      <c r="D534" s="1" t="s">
        <v>543</v>
      </c>
      <c r="E534" s="2" t="s">
        <v>2414</v>
      </c>
      <c r="F534" s="2" t="s">
        <v>2061</v>
      </c>
      <c r="G534" s="6">
        <v>100</v>
      </c>
      <c r="H534" s="8">
        <f t="shared" si="18"/>
        <v>86.206896551724142</v>
      </c>
      <c r="I534" s="2">
        <v>16</v>
      </c>
      <c r="J534" s="2">
        <f t="shared" si="17"/>
        <v>0.56975599999999993</v>
      </c>
      <c r="K534" t="s">
        <v>1663</v>
      </c>
      <c r="L534">
        <v>3</v>
      </c>
      <c r="M534">
        <v>37.090000000000003</v>
      </c>
      <c r="N534">
        <v>37.090000000000003</v>
      </c>
      <c r="O534">
        <v>0</v>
      </c>
      <c r="P534">
        <v>111.27</v>
      </c>
      <c r="Q534">
        <v>3</v>
      </c>
      <c r="R534">
        <v>111.27</v>
      </c>
      <c r="S534" t="s">
        <v>24</v>
      </c>
      <c r="T534" t="s">
        <v>24</v>
      </c>
      <c r="U534" t="s">
        <v>24</v>
      </c>
      <c r="V534" t="s">
        <v>25</v>
      </c>
      <c r="W534" t="s">
        <v>1663</v>
      </c>
      <c r="X534" t="s">
        <v>26</v>
      </c>
      <c r="Y534" t="s">
        <v>24</v>
      </c>
    </row>
    <row r="535" spans="1:25" x14ac:dyDescent="0.35">
      <c r="A535" s="1" t="s">
        <v>1664</v>
      </c>
      <c r="B535" s="1" t="s">
        <v>1665</v>
      </c>
      <c r="C535" s="1" t="s">
        <v>542</v>
      </c>
      <c r="D535" s="1" t="s">
        <v>543</v>
      </c>
      <c r="E535" s="2" t="s">
        <v>2415</v>
      </c>
      <c r="F535" s="2" t="s">
        <v>2061</v>
      </c>
      <c r="G535" s="6">
        <v>140</v>
      </c>
      <c r="H535" s="8">
        <f t="shared" si="18"/>
        <v>120.68965517241381</v>
      </c>
      <c r="I535" s="2">
        <v>16</v>
      </c>
      <c r="J535" s="2">
        <f t="shared" si="17"/>
        <v>0.76186857142857145</v>
      </c>
      <c r="K535" t="s">
        <v>1666</v>
      </c>
      <c r="L535">
        <v>1</v>
      </c>
      <c r="M535">
        <v>28.74</v>
      </c>
      <c r="N535">
        <v>28.74</v>
      </c>
      <c r="O535">
        <v>0</v>
      </c>
      <c r="P535">
        <v>28.74</v>
      </c>
      <c r="Q535">
        <v>1</v>
      </c>
      <c r="R535">
        <v>28.74</v>
      </c>
      <c r="S535" t="s">
        <v>24</v>
      </c>
      <c r="T535" t="s">
        <v>24</v>
      </c>
      <c r="U535" t="s">
        <v>24</v>
      </c>
      <c r="V535" t="s">
        <v>25</v>
      </c>
      <c r="W535" t="s">
        <v>1666</v>
      </c>
      <c r="X535" t="s">
        <v>26</v>
      </c>
      <c r="Y535" t="s">
        <v>24</v>
      </c>
    </row>
    <row r="536" spans="1:25" x14ac:dyDescent="0.35">
      <c r="A536" s="1" t="s">
        <v>1667</v>
      </c>
      <c r="B536" s="1" t="s">
        <v>1668</v>
      </c>
      <c r="C536" s="1" t="s">
        <v>265</v>
      </c>
      <c r="D536" s="1" t="s">
        <v>266</v>
      </c>
      <c r="E536" s="2" t="s">
        <v>2416</v>
      </c>
      <c r="F536" s="2" t="s">
        <v>2061</v>
      </c>
      <c r="G536" s="6">
        <v>80</v>
      </c>
      <c r="H536" s="8">
        <f t="shared" si="18"/>
        <v>68.965517241379317</v>
      </c>
      <c r="I536" s="2">
        <v>16</v>
      </c>
      <c r="J536" s="2">
        <f t="shared" si="17"/>
        <v>0.18321500000000013</v>
      </c>
      <c r="K536" t="s">
        <v>1669</v>
      </c>
      <c r="L536">
        <v>2</v>
      </c>
      <c r="M536">
        <v>56.33</v>
      </c>
      <c r="N536">
        <v>56.33</v>
      </c>
      <c r="O536">
        <v>0</v>
      </c>
      <c r="P536">
        <v>56.33</v>
      </c>
      <c r="Q536">
        <v>1</v>
      </c>
      <c r="R536">
        <v>56.33</v>
      </c>
      <c r="S536" t="s">
        <v>24</v>
      </c>
      <c r="T536" t="s">
        <v>24</v>
      </c>
      <c r="U536" t="s">
        <v>24</v>
      </c>
      <c r="V536" t="s">
        <v>25</v>
      </c>
      <c r="W536" t="s">
        <v>1669</v>
      </c>
      <c r="X536" t="s">
        <v>26</v>
      </c>
      <c r="Y536" t="s">
        <v>24</v>
      </c>
    </row>
    <row r="537" spans="1:25" x14ac:dyDescent="0.35">
      <c r="A537" s="1" t="s">
        <v>1670</v>
      </c>
      <c r="B537" s="1" t="s">
        <v>1671</v>
      </c>
      <c r="C537" s="1" t="s">
        <v>542</v>
      </c>
      <c r="D537" s="1" t="s">
        <v>543</v>
      </c>
      <c r="E537" s="2" t="s">
        <v>2417</v>
      </c>
      <c r="F537" s="2" t="s">
        <v>2061</v>
      </c>
      <c r="G537" s="6">
        <v>440</v>
      </c>
      <c r="H537" s="8">
        <f t="shared" si="18"/>
        <v>379.31034482758622</v>
      </c>
      <c r="I537" s="2">
        <v>16</v>
      </c>
      <c r="J537" s="2">
        <f t="shared" si="17"/>
        <v>0.94099818181818184</v>
      </c>
      <c r="K537" t="s">
        <v>1672</v>
      </c>
      <c r="L537">
        <v>2</v>
      </c>
      <c r="M537">
        <v>22.38</v>
      </c>
      <c r="N537">
        <v>22.38</v>
      </c>
      <c r="O537">
        <v>0</v>
      </c>
      <c r="P537">
        <v>44.76</v>
      </c>
      <c r="Q537">
        <v>2</v>
      </c>
      <c r="R537">
        <v>44.76</v>
      </c>
      <c r="S537" t="s">
        <v>24</v>
      </c>
      <c r="T537" t="s">
        <v>24</v>
      </c>
      <c r="U537" t="s">
        <v>24</v>
      </c>
      <c r="V537" t="s">
        <v>25</v>
      </c>
      <c r="W537" t="s">
        <v>1672</v>
      </c>
      <c r="X537" t="s">
        <v>26</v>
      </c>
      <c r="Y537" t="s">
        <v>24</v>
      </c>
    </row>
    <row r="538" spans="1:25" x14ac:dyDescent="0.35">
      <c r="A538" s="1" t="s">
        <v>1673</v>
      </c>
      <c r="B538" s="1" t="s">
        <v>1674</v>
      </c>
      <c r="C538" s="1" t="s">
        <v>537</v>
      </c>
      <c r="D538" s="1" t="s">
        <v>538</v>
      </c>
      <c r="E538" s="2" t="s">
        <v>2418</v>
      </c>
      <c r="F538" s="2" t="s">
        <v>2061</v>
      </c>
      <c r="G538" s="6">
        <v>53</v>
      </c>
      <c r="H538" s="8">
        <f t="shared" si="18"/>
        <v>45.689655172413794</v>
      </c>
      <c r="I538" s="2">
        <v>16</v>
      </c>
      <c r="J538" s="2">
        <f t="shared" si="17"/>
        <v>0.76907245283018866</v>
      </c>
      <c r="K538" t="s">
        <v>1675</v>
      </c>
      <c r="L538">
        <v>3</v>
      </c>
      <c r="M538">
        <v>10.551</v>
      </c>
      <c r="N538">
        <v>10.551</v>
      </c>
      <c r="O538">
        <v>0</v>
      </c>
      <c r="P538">
        <v>31.652999999999999</v>
      </c>
      <c r="Q538">
        <v>3</v>
      </c>
      <c r="R538">
        <v>31.65</v>
      </c>
      <c r="S538" t="s">
        <v>24</v>
      </c>
      <c r="T538" t="s">
        <v>24</v>
      </c>
      <c r="U538" t="s">
        <v>24</v>
      </c>
      <c r="V538" t="s">
        <v>25</v>
      </c>
      <c r="W538" t="s">
        <v>1675</v>
      </c>
      <c r="X538" t="s">
        <v>26</v>
      </c>
      <c r="Y538" t="s">
        <v>24</v>
      </c>
    </row>
    <row r="539" spans="1:25" x14ac:dyDescent="0.35">
      <c r="A539" s="1" t="s">
        <v>1676</v>
      </c>
      <c r="B539" s="1" t="s">
        <v>1677</v>
      </c>
      <c r="C539" s="1" t="s">
        <v>537</v>
      </c>
      <c r="D539" s="1" t="s">
        <v>538</v>
      </c>
      <c r="E539" s="2" t="s">
        <v>2419</v>
      </c>
      <c r="F539" s="2" t="s">
        <v>2061</v>
      </c>
      <c r="G539" s="6">
        <v>260</v>
      </c>
      <c r="H539" s="8">
        <f t="shared" si="18"/>
        <v>224.13793103448276</v>
      </c>
      <c r="I539" s="2">
        <v>16</v>
      </c>
      <c r="J539" s="2">
        <f t="shared" si="17"/>
        <v>0.79173538461538462</v>
      </c>
      <c r="K539" t="s">
        <v>1678</v>
      </c>
      <c r="L539">
        <v>2</v>
      </c>
      <c r="M539">
        <v>46.68</v>
      </c>
      <c r="N539">
        <v>46.68</v>
      </c>
      <c r="O539">
        <v>0</v>
      </c>
      <c r="P539">
        <v>93.36</v>
      </c>
      <c r="Q539">
        <v>2</v>
      </c>
      <c r="R539">
        <v>93.36</v>
      </c>
      <c r="S539" t="s">
        <v>24</v>
      </c>
      <c r="T539" t="s">
        <v>24</v>
      </c>
      <c r="U539" t="s">
        <v>24</v>
      </c>
      <c r="V539" t="s">
        <v>25</v>
      </c>
      <c r="W539" t="s">
        <v>1678</v>
      </c>
      <c r="X539" t="s">
        <v>26</v>
      </c>
      <c r="Y539" t="s">
        <v>24</v>
      </c>
    </row>
    <row r="540" spans="1:25" x14ac:dyDescent="0.35">
      <c r="A540" s="1" t="s">
        <v>1679</v>
      </c>
      <c r="B540" s="1" t="s">
        <v>1680</v>
      </c>
      <c r="C540" s="1" t="s">
        <v>542</v>
      </c>
      <c r="D540" s="1" t="s">
        <v>543</v>
      </c>
      <c r="E540" s="2" t="s">
        <v>2420</v>
      </c>
      <c r="F540" s="2" t="s">
        <v>2061</v>
      </c>
      <c r="G540" s="6">
        <v>160</v>
      </c>
      <c r="H540" s="8">
        <f t="shared" si="18"/>
        <v>137.93103448275863</v>
      </c>
      <c r="I540" s="2">
        <v>16</v>
      </c>
      <c r="J540" s="2">
        <f t="shared" si="17"/>
        <v>0.83789000000000002</v>
      </c>
      <c r="K540" t="s">
        <v>1681</v>
      </c>
      <c r="L540">
        <v>4</v>
      </c>
      <c r="M540">
        <v>22.36</v>
      </c>
      <c r="N540">
        <v>22.36</v>
      </c>
      <c r="O540">
        <v>0</v>
      </c>
      <c r="P540">
        <v>89.44</v>
      </c>
      <c r="Q540">
        <v>4</v>
      </c>
      <c r="R540">
        <v>89.44</v>
      </c>
      <c r="S540" t="s">
        <v>24</v>
      </c>
      <c r="T540" t="s">
        <v>24</v>
      </c>
      <c r="U540" t="s">
        <v>24</v>
      </c>
      <c r="V540" t="s">
        <v>25</v>
      </c>
      <c r="W540" t="s">
        <v>1681</v>
      </c>
      <c r="X540" t="s">
        <v>26</v>
      </c>
      <c r="Y540" t="s">
        <v>24</v>
      </c>
    </row>
    <row r="541" spans="1:25" x14ac:dyDescent="0.35">
      <c r="A541" s="1" t="s">
        <v>1682</v>
      </c>
      <c r="B541" s="1" t="s">
        <v>1683</v>
      </c>
      <c r="C541" s="1" t="s">
        <v>537</v>
      </c>
      <c r="D541" s="1" t="s">
        <v>538</v>
      </c>
      <c r="E541" s="2" t="s">
        <v>2421</v>
      </c>
      <c r="F541" s="2" t="s">
        <v>2061</v>
      </c>
      <c r="G541" s="6">
        <v>180</v>
      </c>
      <c r="H541" s="8">
        <f t="shared" si="18"/>
        <v>180</v>
      </c>
      <c r="I541" s="2">
        <v>0</v>
      </c>
      <c r="J541" s="2">
        <f t="shared" si="17"/>
        <v>0.82398388888888885</v>
      </c>
      <c r="K541" t="s">
        <v>1684</v>
      </c>
      <c r="L541">
        <v>2</v>
      </c>
      <c r="M541">
        <v>31.6829</v>
      </c>
      <c r="N541">
        <v>31.6829</v>
      </c>
      <c r="O541">
        <v>0</v>
      </c>
      <c r="P541">
        <v>63.3658</v>
      </c>
      <c r="Q541">
        <v>2</v>
      </c>
      <c r="R541">
        <v>63.37</v>
      </c>
      <c r="S541" t="s">
        <v>24</v>
      </c>
      <c r="T541" t="s">
        <v>24</v>
      </c>
      <c r="U541" t="s">
        <v>24</v>
      </c>
      <c r="V541" t="s">
        <v>25</v>
      </c>
      <c r="W541" t="s">
        <v>1684</v>
      </c>
      <c r="X541" t="s">
        <v>26</v>
      </c>
      <c r="Y541" t="s">
        <v>24</v>
      </c>
    </row>
    <row r="542" spans="1:25" x14ac:dyDescent="0.35">
      <c r="A542" s="1" t="s">
        <v>1685</v>
      </c>
      <c r="B542" s="1" t="s">
        <v>1686</v>
      </c>
      <c r="C542" s="1" t="s">
        <v>537</v>
      </c>
      <c r="D542" s="1" t="s">
        <v>538</v>
      </c>
      <c r="E542" s="2" t="s">
        <v>2422</v>
      </c>
      <c r="F542" s="2" t="s">
        <v>2061</v>
      </c>
      <c r="G542" s="6">
        <v>240</v>
      </c>
      <c r="H542" s="8">
        <f t="shared" si="18"/>
        <v>206.89655172413794</v>
      </c>
      <c r="I542" s="2">
        <v>16</v>
      </c>
      <c r="J542" s="2">
        <f t="shared" si="17"/>
        <v>0.80962708333333333</v>
      </c>
      <c r="K542" t="s">
        <v>1687</v>
      </c>
      <c r="L542">
        <v>2</v>
      </c>
      <c r="M542">
        <v>39.387500000000003</v>
      </c>
      <c r="N542">
        <v>39.387500000000003</v>
      </c>
      <c r="O542">
        <v>0</v>
      </c>
      <c r="P542">
        <v>78.775000000000006</v>
      </c>
      <c r="Q542">
        <v>2</v>
      </c>
      <c r="R542">
        <v>78.78</v>
      </c>
      <c r="S542" t="s">
        <v>24</v>
      </c>
      <c r="T542" t="s">
        <v>24</v>
      </c>
      <c r="U542" t="s">
        <v>24</v>
      </c>
      <c r="V542" t="s">
        <v>25</v>
      </c>
      <c r="W542" t="s">
        <v>1687</v>
      </c>
      <c r="X542" t="s">
        <v>26</v>
      </c>
      <c r="Y542" t="s">
        <v>24</v>
      </c>
    </row>
    <row r="543" spans="1:25" x14ac:dyDescent="0.35">
      <c r="A543" s="1" t="s">
        <v>1688</v>
      </c>
      <c r="B543" s="1" t="s">
        <v>1689</v>
      </c>
      <c r="C543" s="1" t="s">
        <v>265</v>
      </c>
      <c r="D543" s="1" t="s">
        <v>266</v>
      </c>
      <c r="E543" s="2" t="s">
        <v>2423</v>
      </c>
      <c r="F543" s="2" t="s">
        <v>2061</v>
      </c>
      <c r="G543" s="6">
        <v>425.5</v>
      </c>
      <c r="H543" s="8">
        <f t="shared" si="18"/>
        <v>366.81034482758622</v>
      </c>
      <c r="I543" s="2">
        <v>16</v>
      </c>
      <c r="J543" s="2">
        <f t="shared" si="17"/>
        <v>0.78925403525264404</v>
      </c>
      <c r="K543" t="s">
        <v>1690</v>
      </c>
      <c r="L543">
        <v>1</v>
      </c>
      <c r="M543">
        <v>77.303799999999995</v>
      </c>
      <c r="N543">
        <v>77.303799999999995</v>
      </c>
      <c r="O543">
        <v>0</v>
      </c>
      <c r="P543">
        <v>77.303799999999995</v>
      </c>
      <c r="Q543">
        <v>1</v>
      </c>
      <c r="R543">
        <v>77.3</v>
      </c>
      <c r="S543" t="s">
        <v>24</v>
      </c>
      <c r="T543" t="s">
        <v>24</v>
      </c>
      <c r="U543" t="s">
        <v>24</v>
      </c>
      <c r="V543" t="s">
        <v>25</v>
      </c>
      <c r="W543" t="s">
        <v>1690</v>
      </c>
      <c r="X543" t="s">
        <v>26</v>
      </c>
      <c r="Y543" t="s">
        <v>24</v>
      </c>
    </row>
    <row r="544" spans="1:25" x14ac:dyDescent="0.35">
      <c r="A544" s="1" t="s">
        <v>1691</v>
      </c>
      <c r="B544" s="1" t="s">
        <v>1692</v>
      </c>
      <c r="C544" s="1" t="s">
        <v>537</v>
      </c>
      <c r="D544" s="1" t="s">
        <v>538</v>
      </c>
      <c r="E544" s="2" t="s">
        <v>2424</v>
      </c>
      <c r="F544" s="2" t="s">
        <v>2061</v>
      </c>
      <c r="G544" s="6">
        <v>230</v>
      </c>
      <c r="H544" s="8">
        <f t="shared" si="18"/>
        <v>198.27586206896552</v>
      </c>
      <c r="I544" s="2">
        <v>16</v>
      </c>
      <c r="J544" s="2">
        <f t="shared" si="17"/>
        <v>0.59857998260869572</v>
      </c>
      <c r="K544" t="s">
        <v>1693</v>
      </c>
      <c r="L544">
        <v>1</v>
      </c>
      <c r="M544">
        <v>79.591899999999995</v>
      </c>
      <c r="N544">
        <v>79.591899999999995</v>
      </c>
      <c r="O544">
        <v>0</v>
      </c>
      <c r="P544">
        <v>79.591899999999995</v>
      </c>
      <c r="Q544">
        <v>1</v>
      </c>
      <c r="R544">
        <v>79.59</v>
      </c>
      <c r="S544" t="s">
        <v>24</v>
      </c>
      <c r="T544" t="s">
        <v>24</v>
      </c>
      <c r="U544" t="s">
        <v>24</v>
      </c>
      <c r="V544" t="s">
        <v>25</v>
      </c>
      <c r="W544" t="s">
        <v>1693</v>
      </c>
      <c r="X544" t="s">
        <v>26</v>
      </c>
      <c r="Y544" t="s">
        <v>24</v>
      </c>
    </row>
    <row r="545" spans="1:25" x14ac:dyDescent="0.35">
      <c r="A545" s="1" t="s">
        <v>1694</v>
      </c>
      <c r="B545" s="1" t="s">
        <v>1695</v>
      </c>
      <c r="C545" s="1" t="s">
        <v>696</v>
      </c>
      <c r="D545" s="1" t="s">
        <v>697</v>
      </c>
      <c r="E545" s="2" t="s">
        <v>2425</v>
      </c>
      <c r="F545" s="2" t="s">
        <v>2082</v>
      </c>
      <c r="G545" s="6">
        <v>60</v>
      </c>
      <c r="H545" s="8">
        <f t="shared" si="18"/>
        <v>55.55555555555555</v>
      </c>
      <c r="I545" s="2">
        <v>8</v>
      </c>
      <c r="J545" s="2">
        <f t="shared" si="17"/>
        <v>0.7147</v>
      </c>
      <c r="K545" t="s">
        <v>1696</v>
      </c>
      <c r="L545">
        <v>4</v>
      </c>
      <c r="M545">
        <v>15.85</v>
      </c>
      <c r="N545">
        <v>15.85</v>
      </c>
      <c r="O545">
        <v>0</v>
      </c>
      <c r="P545">
        <v>63.4</v>
      </c>
      <c r="Q545">
        <v>4</v>
      </c>
      <c r="R545">
        <v>63.4</v>
      </c>
      <c r="S545" t="s">
        <v>24</v>
      </c>
      <c r="T545" t="s">
        <v>24</v>
      </c>
      <c r="U545" t="s">
        <v>24</v>
      </c>
      <c r="V545" t="s">
        <v>25</v>
      </c>
      <c r="W545" t="s">
        <v>1696</v>
      </c>
      <c r="X545" t="s">
        <v>26</v>
      </c>
      <c r="Y545" t="s">
        <v>24</v>
      </c>
    </row>
    <row r="546" spans="1:25" x14ac:dyDescent="0.35">
      <c r="A546" s="1" t="s">
        <v>1697</v>
      </c>
      <c r="B546" s="1" t="s">
        <v>1698</v>
      </c>
      <c r="C546" s="1" t="s">
        <v>807</v>
      </c>
      <c r="D546" s="1" t="s">
        <v>808</v>
      </c>
      <c r="E546" s="2" t="s">
        <v>2426</v>
      </c>
      <c r="F546" s="2" t="s">
        <v>2082</v>
      </c>
      <c r="G546" s="6">
        <v>40</v>
      </c>
      <c r="H546" s="8">
        <f t="shared" si="18"/>
        <v>34.482758620689658</v>
      </c>
      <c r="I546" s="2">
        <v>16</v>
      </c>
      <c r="J546" s="2">
        <f t="shared" si="17"/>
        <v>0.79265000000000008</v>
      </c>
      <c r="K546" t="s">
        <v>1699</v>
      </c>
      <c r="L546">
        <v>4</v>
      </c>
      <c r="M546">
        <v>7.15</v>
      </c>
      <c r="N546">
        <v>7.15</v>
      </c>
      <c r="O546">
        <v>0</v>
      </c>
      <c r="P546">
        <v>28.6</v>
      </c>
      <c r="Q546">
        <v>4</v>
      </c>
      <c r="R546">
        <v>28.6</v>
      </c>
      <c r="S546" t="s">
        <v>24</v>
      </c>
      <c r="T546" t="s">
        <v>24</v>
      </c>
      <c r="U546" t="s">
        <v>24</v>
      </c>
      <c r="V546" t="s">
        <v>25</v>
      </c>
      <c r="W546" t="s">
        <v>1699</v>
      </c>
      <c r="X546" t="s">
        <v>26</v>
      </c>
      <c r="Y546" t="s">
        <v>24</v>
      </c>
    </row>
    <row r="547" spans="1:25" x14ac:dyDescent="0.35">
      <c r="A547" s="1" t="s">
        <v>1700</v>
      </c>
      <c r="B547" s="1" t="s">
        <v>1701</v>
      </c>
      <c r="C547" s="1" t="s">
        <v>254</v>
      </c>
      <c r="D547" s="1" t="s">
        <v>255</v>
      </c>
      <c r="E547" s="2" t="s">
        <v>2427</v>
      </c>
      <c r="F547" s="2" t="s">
        <v>2082</v>
      </c>
      <c r="G547" s="6">
        <v>180</v>
      </c>
      <c r="H547" s="8">
        <f t="shared" si="18"/>
        <v>155.17241379310346</v>
      </c>
      <c r="I547" s="2">
        <v>16</v>
      </c>
      <c r="J547" s="2">
        <f t="shared" si="17"/>
        <v>0.75579744444444441</v>
      </c>
      <c r="K547" t="s">
        <v>1702</v>
      </c>
      <c r="L547">
        <v>11</v>
      </c>
      <c r="M547">
        <v>37.893500000000003</v>
      </c>
      <c r="N547">
        <v>37.893500000000003</v>
      </c>
      <c r="O547">
        <v>0</v>
      </c>
      <c r="P547">
        <v>416.82850000000002</v>
      </c>
      <c r="Q547">
        <v>11</v>
      </c>
      <c r="R547">
        <v>416.83</v>
      </c>
      <c r="S547" t="s">
        <v>24</v>
      </c>
      <c r="T547" t="s">
        <v>24</v>
      </c>
      <c r="U547" t="s">
        <v>24</v>
      </c>
      <c r="V547" t="s">
        <v>25</v>
      </c>
      <c r="W547" t="s">
        <v>1702</v>
      </c>
      <c r="X547" t="s">
        <v>26</v>
      </c>
      <c r="Y547" t="s">
        <v>24</v>
      </c>
    </row>
    <row r="548" spans="1:25" x14ac:dyDescent="0.35">
      <c r="A548" s="1" t="s">
        <v>1703</v>
      </c>
      <c r="B548" s="1" t="s">
        <v>1704</v>
      </c>
      <c r="C548" s="1" t="s">
        <v>492</v>
      </c>
      <c r="D548" s="1" t="s">
        <v>493</v>
      </c>
      <c r="E548" s="2" t="s">
        <v>2428</v>
      </c>
      <c r="F548" s="2" t="s">
        <v>2082</v>
      </c>
      <c r="G548" s="6">
        <v>180</v>
      </c>
      <c r="H548" s="8">
        <f t="shared" si="18"/>
        <v>166.66666666666666</v>
      </c>
      <c r="I548" s="2">
        <v>8</v>
      </c>
      <c r="J548" s="2">
        <f t="shared" si="17"/>
        <v>0.73780000000000001</v>
      </c>
      <c r="K548" t="s">
        <v>1705</v>
      </c>
      <c r="L548">
        <v>9</v>
      </c>
      <c r="M548">
        <v>43.7</v>
      </c>
      <c r="N548">
        <v>43.7</v>
      </c>
      <c r="O548">
        <v>0</v>
      </c>
      <c r="P548">
        <v>393.3</v>
      </c>
      <c r="Q548">
        <v>9</v>
      </c>
      <c r="R548">
        <v>393.3</v>
      </c>
      <c r="S548" t="s">
        <v>24</v>
      </c>
      <c r="T548" t="s">
        <v>24</v>
      </c>
      <c r="U548" t="s">
        <v>24</v>
      </c>
      <c r="V548" t="s">
        <v>25</v>
      </c>
      <c r="W548" t="s">
        <v>1705</v>
      </c>
      <c r="X548" t="s">
        <v>26</v>
      </c>
      <c r="Y548" t="s">
        <v>24</v>
      </c>
    </row>
    <row r="549" spans="1:25" x14ac:dyDescent="0.35">
      <c r="A549" s="1" t="s">
        <v>659</v>
      </c>
      <c r="B549" s="1" t="s">
        <v>660</v>
      </c>
      <c r="C549" s="1" t="s">
        <v>29</v>
      </c>
      <c r="D549" s="1" t="s">
        <v>30</v>
      </c>
      <c r="E549" s="2" t="s">
        <v>2097</v>
      </c>
      <c r="F549" s="2" t="s">
        <v>2082</v>
      </c>
      <c r="G549" s="6">
        <v>60</v>
      </c>
      <c r="H549" s="8">
        <f t="shared" si="18"/>
        <v>55.55555555555555</v>
      </c>
      <c r="I549" s="2">
        <v>8</v>
      </c>
      <c r="J549" s="2">
        <f t="shared" si="17"/>
        <v>0.74584000000000006</v>
      </c>
      <c r="K549" t="s">
        <v>1706</v>
      </c>
      <c r="L549">
        <v>1</v>
      </c>
      <c r="M549">
        <v>14.12</v>
      </c>
      <c r="N549">
        <v>14.12</v>
      </c>
      <c r="O549">
        <v>0</v>
      </c>
      <c r="P549">
        <v>14.12</v>
      </c>
      <c r="Q549">
        <v>1</v>
      </c>
      <c r="R549">
        <v>14.12</v>
      </c>
      <c r="S549" t="s">
        <v>24</v>
      </c>
      <c r="T549" t="s">
        <v>24</v>
      </c>
      <c r="U549" t="s">
        <v>24</v>
      </c>
      <c r="V549" t="s">
        <v>25</v>
      </c>
      <c r="W549" t="s">
        <v>1706</v>
      </c>
      <c r="X549" t="s">
        <v>26</v>
      </c>
      <c r="Y549" t="s">
        <v>24</v>
      </c>
    </row>
    <row r="550" spans="1:25" x14ac:dyDescent="0.35">
      <c r="A550" s="1" t="s">
        <v>1707</v>
      </c>
      <c r="B550" s="1" t="s">
        <v>1708</v>
      </c>
      <c r="C550" s="1" t="s">
        <v>295</v>
      </c>
      <c r="D550" s="1" t="s">
        <v>296</v>
      </c>
      <c r="E550" s="2" t="s">
        <v>2429</v>
      </c>
      <c r="F550" s="2" t="s">
        <v>1975</v>
      </c>
      <c r="G550" s="6">
        <v>600</v>
      </c>
      <c r="H550" s="8">
        <f t="shared" si="18"/>
        <v>517.24137931034488</v>
      </c>
      <c r="I550" s="2">
        <v>16</v>
      </c>
      <c r="J550" s="2">
        <f t="shared" si="17"/>
        <v>0.70099221333333339</v>
      </c>
      <c r="K550" t="s">
        <v>1709</v>
      </c>
      <c r="L550">
        <v>1</v>
      </c>
      <c r="M550">
        <v>154.6592</v>
      </c>
      <c r="N550">
        <v>154.66</v>
      </c>
      <c r="O550">
        <v>0</v>
      </c>
      <c r="P550">
        <v>154.6592</v>
      </c>
      <c r="Q550">
        <v>1</v>
      </c>
      <c r="R550">
        <v>154.66</v>
      </c>
      <c r="S550" t="s">
        <v>24</v>
      </c>
      <c r="T550" t="s">
        <v>24</v>
      </c>
      <c r="U550" t="s">
        <v>24</v>
      </c>
      <c r="V550" t="s">
        <v>25</v>
      </c>
      <c r="W550" t="s">
        <v>1709</v>
      </c>
      <c r="X550" t="s">
        <v>26</v>
      </c>
      <c r="Y550" t="s">
        <v>24</v>
      </c>
    </row>
    <row r="551" spans="1:25" x14ac:dyDescent="0.35">
      <c r="A551" s="1" t="s">
        <v>1710</v>
      </c>
      <c r="B551" s="1" t="s">
        <v>1711</v>
      </c>
      <c r="C551" s="1" t="s">
        <v>824</v>
      </c>
      <c r="D551" s="1" t="s">
        <v>825</v>
      </c>
      <c r="E551" s="2" t="s">
        <v>2430</v>
      </c>
      <c r="F551" s="2" t="s">
        <v>2082</v>
      </c>
      <c r="G551" s="6">
        <v>40</v>
      </c>
      <c r="H551" s="8">
        <f t="shared" si="18"/>
        <v>37.037037037037038</v>
      </c>
      <c r="I551" s="2">
        <v>8</v>
      </c>
      <c r="J551" s="2">
        <f t="shared" si="17"/>
        <v>0.67839760000000005</v>
      </c>
      <c r="K551" t="s">
        <v>1712</v>
      </c>
      <c r="L551">
        <v>21</v>
      </c>
      <c r="M551">
        <v>11.911199999999999</v>
      </c>
      <c r="N551">
        <v>11.911199999999999</v>
      </c>
      <c r="O551">
        <v>0</v>
      </c>
      <c r="P551">
        <v>250.1352</v>
      </c>
      <c r="Q551">
        <v>21</v>
      </c>
      <c r="R551">
        <v>250.14</v>
      </c>
      <c r="S551" t="s">
        <v>24</v>
      </c>
      <c r="T551" t="s">
        <v>24</v>
      </c>
      <c r="U551" t="s">
        <v>24</v>
      </c>
      <c r="V551" t="s">
        <v>25</v>
      </c>
      <c r="W551" t="s">
        <v>1712</v>
      </c>
      <c r="X551" t="s">
        <v>26</v>
      </c>
      <c r="Y551" t="s">
        <v>24</v>
      </c>
    </row>
    <row r="552" spans="1:25" x14ac:dyDescent="0.35">
      <c r="A552" s="1" t="s">
        <v>813</v>
      </c>
      <c r="B552" s="1" t="s">
        <v>814</v>
      </c>
      <c r="C552" s="1" t="s">
        <v>295</v>
      </c>
      <c r="D552" s="1" t="s">
        <v>296</v>
      </c>
      <c r="E552" s="2" t="s">
        <v>2143</v>
      </c>
      <c r="F552" s="2" t="s">
        <v>1975</v>
      </c>
      <c r="G552" s="6">
        <v>780</v>
      </c>
      <c r="H552" s="8">
        <f t="shared" si="18"/>
        <v>672.41379310344837</v>
      </c>
      <c r="I552" s="2">
        <v>16</v>
      </c>
      <c r="J552" s="2">
        <f t="shared" si="17"/>
        <v>0.61615897435897438</v>
      </c>
      <c r="K552" t="s">
        <v>1713</v>
      </c>
      <c r="L552">
        <v>7</v>
      </c>
      <c r="M552">
        <v>258.10000000000002</v>
      </c>
      <c r="N552">
        <v>258.10000000000002</v>
      </c>
      <c r="O552">
        <v>0</v>
      </c>
      <c r="P552">
        <v>1806.7</v>
      </c>
      <c r="Q552">
        <v>7</v>
      </c>
      <c r="R552">
        <v>1806.7</v>
      </c>
      <c r="S552" t="s">
        <v>24</v>
      </c>
      <c r="T552" t="s">
        <v>24</v>
      </c>
      <c r="U552" t="s">
        <v>24</v>
      </c>
      <c r="V552" t="s">
        <v>25</v>
      </c>
      <c r="W552" t="s">
        <v>1713</v>
      </c>
      <c r="X552" t="s">
        <v>26</v>
      </c>
      <c r="Y552" t="s">
        <v>24</v>
      </c>
    </row>
    <row r="553" spans="1:25" x14ac:dyDescent="0.35">
      <c r="A553" s="1" t="s">
        <v>1714</v>
      </c>
      <c r="B553" s="1" t="s">
        <v>1715</v>
      </c>
      <c r="C553" s="1" t="s">
        <v>295</v>
      </c>
      <c r="D553" s="1" t="s">
        <v>296</v>
      </c>
      <c r="E553" s="2" t="s">
        <v>2431</v>
      </c>
      <c r="F553" s="2" t="s">
        <v>1975</v>
      </c>
      <c r="G553" s="6">
        <v>780</v>
      </c>
      <c r="H553" s="8">
        <f t="shared" si="18"/>
        <v>672.41379310344837</v>
      </c>
      <c r="I553" s="2">
        <v>16</v>
      </c>
      <c r="J553" s="2">
        <f t="shared" si="17"/>
        <v>0.73153435897435903</v>
      </c>
      <c r="K553" t="s">
        <v>1716</v>
      </c>
      <c r="L553">
        <v>7</v>
      </c>
      <c r="M553">
        <v>180.52</v>
      </c>
      <c r="N553">
        <v>180.52</v>
      </c>
      <c r="O553">
        <v>0</v>
      </c>
      <c r="P553">
        <v>1263.6400000000001</v>
      </c>
      <c r="Q553">
        <v>7</v>
      </c>
      <c r="R553">
        <v>1263.6400000000001</v>
      </c>
      <c r="S553" t="s">
        <v>24</v>
      </c>
      <c r="T553" t="s">
        <v>24</v>
      </c>
      <c r="U553" t="s">
        <v>24</v>
      </c>
      <c r="V553" t="s">
        <v>25</v>
      </c>
      <c r="W553" t="s">
        <v>1716</v>
      </c>
      <c r="X553" t="s">
        <v>26</v>
      </c>
      <c r="Y553" t="s">
        <v>24</v>
      </c>
    </row>
    <row r="554" spans="1:25" x14ac:dyDescent="0.35">
      <c r="A554" s="1" t="s">
        <v>1717</v>
      </c>
      <c r="B554" s="1" t="s">
        <v>1718</v>
      </c>
      <c r="C554" s="1" t="s">
        <v>254</v>
      </c>
      <c r="D554" s="1" t="s">
        <v>255</v>
      </c>
      <c r="E554" s="2" t="s">
        <v>2432</v>
      </c>
      <c r="F554" s="2" t="s">
        <v>1911</v>
      </c>
      <c r="G554" s="6">
        <v>1202.5</v>
      </c>
      <c r="H554" s="8">
        <f t="shared" si="18"/>
        <v>1036.6379310344828</v>
      </c>
      <c r="I554" s="2">
        <v>16</v>
      </c>
      <c r="J554" s="2">
        <f t="shared" si="17"/>
        <v>0.8121330561330562</v>
      </c>
      <c r="K554" t="s">
        <v>1719</v>
      </c>
      <c r="L554">
        <v>1</v>
      </c>
      <c r="M554">
        <v>194.75</v>
      </c>
      <c r="N554">
        <v>194.75</v>
      </c>
      <c r="O554">
        <v>0</v>
      </c>
      <c r="P554">
        <v>194.75</v>
      </c>
      <c r="Q554">
        <v>1</v>
      </c>
      <c r="R554">
        <v>194.75</v>
      </c>
      <c r="S554" t="s">
        <v>24</v>
      </c>
      <c r="T554" t="s">
        <v>24</v>
      </c>
      <c r="U554" t="s">
        <v>24</v>
      </c>
      <c r="V554" t="s">
        <v>25</v>
      </c>
      <c r="W554" t="s">
        <v>1719</v>
      </c>
      <c r="X554" t="s">
        <v>26</v>
      </c>
      <c r="Y554" t="s">
        <v>24</v>
      </c>
    </row>
    <row r="555" spans="1:25" x14ac:dyDescent="0.35">
      <c r="A555" s="1" t="s">
        <v>1720</v>
      </c>
      <c r="B555" s="1" t="s">
        <v>1721</v>
      </c>
      <c r="C555" s="1" t="s">
        <v>844</v>
      </c>
      <c r="D555" s="1" t="s">
        <v>845</v>
      </c>
      <c r="E555" s="2" t="s">
        <v>2433</v>
      </c>
      <c r="F555" s="2" t="s">
        <v>2154</v>
      </c>
      <c r="G555" s="6">
        <v>500</v>
      </c>
      <c r="H555" s="8">
        <f t="shared" si="18"/>
        <v>431.0344827586207</v>
      </c>
      <c r="I555" s="2">
        <v>16</v>
      </c>
      <c r="J555" s="2">
        <f t="shared" si="17"/>
        <v>0.55469919999999995</v>
      </c>
      <c r="K555" t="s">
        <v>1722</v>
      </c>
      <c r="L555">
        <v>1</v>
      </c>
      <c r="M555">
        <v>191.94</v>
      </c>
      <c r="N555">
        <v>191.94</v>
      </c>
      <c r="O555">
        <v>0</v>
      </c>
      <c r="P555">
        <v>191.94</v>
      </c>
      <c r="Q555">
        <v>1</v>
      </c>
      <c r="R555">
        <v>191.94</v>
      </c>
      <c r="S555" t="s">
        <v>24</v>
      </c>
      <c r="T555" t="s">
        <v>24</v>
      </c>
      <c r="U555" t="s">
        <v>24</v>
      </c>
      <c r="V555" t="s">
        <v>25</v>
      </c>
      <c r="W555" t="s">
        <v>1722</v>
      </c>
      <c r="X555" t="s">
        <v>26</v>
      </c>
      <c r="Y555" t="s">
        <v>24</v>
      </c>
    </row>
    <row r="556" spans="1:25" x14ac:dyDescent="0.35">
      <c r="A556" s="1" t="s">
        <v>1723</v>
      </c>
      <c r="B556" s="1" t="s">
        <v>1724</v>
      </c>
      <c r="C556" s="1" t="s">
        <v>844</v>
      </c>
      <c r="D556" s="1" t="s">
        <v>845</v>
      </c>
      <c r="E556" s="2" t="s">
        <v>2434</v>
      </c>
      <c r="F556" s="2" t="s">
        <v>2154</v>
      </c>
      <c r="G556" s="6">
        <v>500</v>
      </c>
      <c r="H556" s="8">
        <f t="shared" si="18"/>
        <v>431.0344827586207</v>
      </c>
      <c r="I556" s="2">
        <v>16</v>
      </c>
      <c r="J556" s="2">
        <f t="shared" si="17"/>
        <v>0.55469919999999995</v>
      </c>
      <c r="K556" t="s">
        <v>1725</v>
      </c>
      <c r="L556">
        <v>1</v>
      </c>
      <c r="M556">
        <v>191.94</v>
      </c>
      <c r="N556">
        <v>191.94</v>
      </c>
      <c r="O556">
        <v>0</v>
      </c>
      <c r="P556">
        <v>191.94</v>
      </c>
      <c r="Q556">
        <v>1</v>
      </c>
      <c r="R556">
        <v>191.94</v>
      </c>
      <c r="S556" t="s">
        <v>24</v>
      </c>
      <c r="T556" t="s">
        <v>24</v>
      </c>
      <c r="U556" t="s">
        <v>24</v>
      </c>
      <c r="V556" t="s">
        <v>25</v>
      </c>
      <c r="W556" t="s">
        <v>1725</v>
      </c>
      <c r="X556" t="s">
        <v>26</v>
      </c>
      <c r="Y556" t="s">
        <v>24</v>
      </c>
    </row>
    <row r="557" spans="1:25" x14ac:dyDescent="0.35">
      <c r="A557" s="1" t="s">
        <v>1726</v>
      </c>
      <c r="B557" s="1" t="s">
        <v>1727</v>
      </c>
      <c r="C557" s="1" t="s">
        <v>807</v>
      </c>
      <c r="D557" s="1" t="s">
        <v>808</v>
      </c>
      <c r="E557" s="2" t="s">
        <v>2435</v>
      </c>
      <c r="F557" s="2" t="s">
        <v>2061</v>
      </c>
      <c r="G557" s="6">
        <v>300</v>
      </c>
      <c r="H557" s="8">
        <f t="shared" si="18"/>
        <v>300</v>
      </c>
      <c r="I557" s="2">
        <v>0</v>
      </c>
      <c r="J557" s="2">
        <f t="shared" si="17"/>
        <v>0.79991833333333329</v>
      </c>
      <c r="K557" t="s">
        <v>1728</v>
      </c>
      <c r="L557">
        <v>2</v>
      </c>
      <c r="M557">
        <v>60.024500000000003</v>
      </c>
      <c r="N557">
        <v>60.024500000000003</v>
      </c>
      <c r="O557">
        <v>0</v>
      </c>
      <c r="P557">
        <v>120.04900000000001</v>
      </c>
      <c r="Q557">
        <v>2</v>
      </c>
      <c r="R557">
        <v>120.05</v>
      </c>
      <c r="S557" t="s">
        <v>24</v>
      </c>
      <c r="T557" t="s">
        <v>24</v>
      </c>
      <c r="U557" t="s">
        <v>24</v>
      </c>
      <c r="V557" t="s">
        <v>25</v>
      </c>
      <c r="W557" t="s">
        <v>1728</v>
      </c>
      <c r="X557" t="s">
        <v>26</v>
      </c>
      <c r="Y557" t="s">
        <v>24</v>
      </c>
    </row>
    <row r="558" spans="1:25" x14ac:dyDescent="0.35">
      <c r="A558" s="1" t="s">
        <v>1729</v>
      </c>
      <c r="B558" s="1" t="s">
        <v>1730</v>
      </c>
      <c r="C558" s="1" t="s">
        <v>537</v>
      </c>
      <c r="D558" s="1" t="s">
        <v>538</v>
      </c>
      <c r="E558" s="2" t="s">
        <v>2436</v>
      </c>
      <c r="F558" s="2" t="s">
        <v>2061</v>
      </c>
      <c r="G558" s="6">
        <v>200</v>
      </c>
      <c r="H558" s="8">
        <f t="shared" si="18"/>
        <v>172.41379310344828</v>
      </c>
      <c r="I558" s="2">
        <v>16</v>
      </c>
      <c r="J558" s="2">
        <f t="shared" si="17"/>
        <v>0.73465000000000003</v>
      </c>
      <c r="K558" t="s">
        <v>1731</v>
      </c>
      <c r="L558">
        <v>1</v>
      </c>
      <c r="M558">
        <v>45.75</v>
      </c>
      <c r="N558">
        <v>45.75</v>
      </c>
      <c r="O558">
        <v>0</v>
      </c>
      <c r="P558">
        <v>45.75</v>
      </c>
      <c r="Q558">
        <v>1</v>
      </c>
      <c r="R558">
        <v>45.75</v>
      </c>
      <c r="S558" t="s">
        <v>24</v>
      </c>
      <c r="T558" t="s">
        <v>24</v>
      </c>
      <c r="U558" t="s">
        <v>24</v>
      </c>
      <c r="V558" t="s">
        <v>25</v>
      </c>
      <c r="W558" t="s">
        <v>1731</v>
      </c>
      <c r="X558" t="s">
        <v>26</v>
      </c>
      <c r="Y558" t="s">
        <v>24</v>
      </c>
    </row>
    <row r="559" spans="1:25" x14ac:dyDescent="0.35">
      <c r="A559" s="1" t="s">
        <v>1732</v>
      </c>
      <c r="B559" s="1" t="s">
        <v>1733</v>
      </c>
      <c r="C559" s="1" t="s">
        <v>239</v>
      </c>
      <c r="D559" s="1" t="s">
        <v>240</v>
      </c>
      <c r="E559" s="2" t="s">
        <v>2437</v>
      </c>
      <c r="F559" s="2" t="s">
        <v>2061</v>
      </c>
      <c r="G559" s="6">
        <v>55.5</v>
      </c>
      <c r="H559" s="8">
        <f t="shared" si="18"/>
        <v>47.844827586206897</v>
      </c>
      <c r="I559" s="2">
        <v>16</v>
      </c>
      <c r="J559" s="2">
        <f t="shared" si="17"/>
        <v>0.57162349549549551</v>
      </c>
      <c r="K559" t="s">
        <v>1734</v>
      </c>
      <c r="L559">
        <v>1</v>
      </c>
      <c r="M559">
        <v>20.4956</v>
      </c>
      <c r="N559">
        <v>20.4956</v>
      </c>
      <c r="O559">
        <v>0</v>
      </c>
      <c r="P559">
        <v>20.4956</v>
      </c>
      <c r="Q559">
        <v>1</v>
      </c>
      <c r="R559">
        <v>20.5</v>
      </c>
      <c r="S559" t="s">
        <v>24</v>
      </c>
      <c r="T559" t="s">
        <v>24</v>
      </c>
      <c r="U559" t="s">
        <v>24</v>
      </c>
      <c r="V559" t="s">
        <v>25</v>
      </c>
      <c r="W559" t="s">
        <v>1734</v>
      </c>
      <c r="X559" t="s">
        <v>26</v>
      </c>
      <c r="Y559" t="s">
        <v>24</v>
      </c>
    </row>
    <row r="560" spans="1:25" x14ac:dyDescent="0.35">
      <c r="A560" s="1" t="s">
        <v>1735</v>
      </c>
      <c r="B560" s="1" t="s">
        <v>1736</v>
      </c>
      <c r="C560" s="1" t="s">
        <v>29</v>
      </c>
      <c r="D560" s="1" t="s">
        <v>30</v>
      </c>
      <c r="E560" s="2" t="s">
        <v>2438</v>
      </c>
      <c r="F560" s="2" t="s">
        <v>1913</v>
      </c>
      <c r="G560" s="6">
        <v>380</v>
      </c>
      <c r="H560" s="8">
        <f t="shared" si="18"/>
        <v>327.58620689655174</v>
      </c>
      <c r="I560" s="2">
        <v>16</v>
      </c>
      <c r="J560" s="2">
        <f t="shared" si="17"/>
        <v>0.71</v>
      </c>
      <c r="K560" t="s">
        <v>1737</v>
      </c>
      <c r="L560">
        <v>1</v>
      </c>
      <c r="M560">
        <v>95</v>
      </c>
      <c r="N560">
        <v>95</v>
      </c>
      <c r="O560">
        <v>0</v>
      </c>
      <c r="P560">
        <v>95</v>
      </c>
      <c r="Q560">
        <v>1</v>
      </c>
      <c r="R560">
        <v>95</v>
      </c>
      <c r="S560" t="s">
        <v>24</v>
      </c>
      <c r="T560" t="s">
        <v>24</v>
      </c>
      <c r="U560" t="s">
        <v>24</v>
      </c>
      <c r="V560" t="s">
        <v>25</v>
      </c>
      <c r="W560" t="s">
        <v>1737</v>
      </c>
      <c r="X560" t="s">
        <v>26</v>
      </c>
      <c r="Y560" t="s">
        <v>24</v>
      </c>
    </row>
    <row r="561" spans="1:25" x14ac:dyDescent="0.35">
      <c r="A561" s="1" t="s">
        <v>1738</v>
      </c>
      <c r="B561" s="1" t="s">
        <v>1739</v>
      </c>
      <c r="C561" s="1" t="s">
        <v>292</v>
      </c>
      <c r="D561" s="1" t="s">
        <v>293</v>
      </c>
      <c r="E561" s="2" t="s">
        <v>2439</v>
      </c>
      <c r="F561" s="2" t="s">
        <v>1913</v>
      </c>
      <c r="G561" s="6">
        <v>80</v>
      </c>
      <c r="H561" s="8">
        <f t="shared" si="18"/>
        <v>68.965517241379317</v>
      </c>
      <c r="I561" s="2">
        <v>16</v>
      </c>
      <c r="J561" s="2">
        <f t="shared" si="17"/>
        <v>0.71290000000000009</v>
      </c>
      <c r="K561" t="s">
        <v>1740</v>
      </c>
      <c r="L561">
        <v>3</v>
      </c>
      <c r="M561">
        <v>19.8</v>
      </c>
      <c r="N561">
        <v>19.8</v>
      </c>
      <c r="O561">
        <v>0</v>
      </c>
      <c r="P561">
        <v>59.4</v>
      </c>
      <c r="Q561">
        <v>3</v>
      </c>
      <c r="R561">
        <v>59.4</v>
      </c>
      <c r="S561" t="s">
        <v>24</v>
      </c>
      <c r="T561" t="s">
        <v>24</v>
      </c>
      <c r="U561" t="s">
        <v>24</v>
      </c>
      <c r="V561" t="s">
        <v>25</v>
      </c>
      <c r="W561" t="s">
        <v>1740</v>
      </c>
      <c r="X561" t="s">
        <v>26</v>
      </c>
      <c r="Y561" t="s">
        <v>24</v>
      </c>
    </row>
    <row r="562" spans="1:25" x14ac:dyDescent="0.35">
      <c r="A562" s="1" t="s">
        <v>1741</v>
      </c>
      <c r="B562" s="1" t="s">
        <v>1742</v>
      </c>
      <c r="C562" s="1" t="s">
        <v>29</v>
      </c>
      <c r="D562" s="1" t="s">
        <v>30</v>
      </c>
      <c r="E562" s="2" t="s">
        <v>2440</v>
      </c>
      <c r="F562" s="2" t="s">
        <v>1913</v>
      </c>
      <c r="G562" s="6">
        <v>380</v>
      </c>
      <c r="H562" s="8">
        <f t="shared" si="18"/>
        <v>327.58620689655174</v>
      </c>
      <c r="I562" s="2">
        <v>16</v>
      </c>
      <c r="J562" s="2">
        <f t="shared" si="17"/>
        <v>0.65309284210526319</v>
      </c>
      <c r="K562" t="s">
        <v>1743</v>
      </c>
      <c r="L562">
        <v>2</v>
      </c>
      <c r="M562">
        <v>113.642</v>
      </c>
      <c r="N562">
        <v>113.642</v>
      </c>
      <c r="O562">
        <v>0</v>
      </c>
      <c r="P562">
        <v>227.28399999999999</v>
      </c>
      <c r="Q562">
        <v>2</v>
      </c>
      <c r="R562">
        <v>227.28</v>
      </c>
      <c r="S562" t="s">
        <v>24</v>
      </c>
      <c r="T562" t="s">
        <v>24</v>
      </c>
      <c r="U562" t="s">
        <v>24</v>
      </c>
      <c r="V562" t="s">
        <v>25</v>
      </c>
      <c r="W562" t="s">
        <v>1743</v>
      </c>
      <c r="X562" t="s">
        <v>26</v>
      </c>
      <c r="Y562" t="s">
        <v>24</v>
      </c>
    </row>
    <row r="563" spans="1:25" x14ac:dyDescent="0.35">
      <c r="A563" s="1" t="s">
        <v>1744</v>
      </c>
      <c r="B563" s="1" t="s">
        <v>1745</v>
      </c>
      <c r="C563" s="1" t="s">
        <v>537</v>
      </c>
      <c r="D563" s="1" t="s">
        <v>538</v>
      </c>
      <c r="E563" s="2" t="s">
        <v>2441</v>
      </c>
      <c r="F563" s="2" t="s">
        <v>2061</v>
      </c>
      <c r="G563" s="6">
        <v>160</v>
      </c>
      <c r="H563" s="8">
        <f t="shared" si="18"/>
        <v>137.93103448275863</v>
      </c>
      <c r="I563" s="2">
        <v>16</v>
      </c>
      <c r="J563" s="2">
        <f t="shared" si="17"/>
        <v>0.61248750000000007</v>
      </c>
      <c r="K563" t="s">
        <v>1746</v>
      </c>
      <c r="L563">
        <v>1</v>
      </c>
      <c r="M563">
        <v>53.45</v>
      </c>
      <c r="N563">
        <v>53.45</v>
      </c>
      <c r="O563">
        <v>0</v>
      </c>
      <c r="P563">
        <v>53.45</v>
      </c>
      <c r="Q563">
        <v>1</v>
      </c>
      <c r="R563">
        <v>53.45</v>
      </c>
      <c r="S563" t="s">
        <v>24</v>
      </c>
      <c r="T563" t="s">
        <v>24</v>
      </c>
      <c r="U563" t="s">
        <v>24</v>
      </c>
      <c r="V563" t="s">
        <v>25</v>
      </c>
      <c r="W563" t="s">
        <v>1746</v>
      </c>
      <c r="X563" t="s">
        <v>26</v>
      </c>
      <c r="Y563" t="s">
        <v>24</v>
      </c>
    </row>
    <row r="564" spans="1:25" x14ac:dyDescent="0.35">
      <c r="A564" s="1" t="s">
        <v>1747</v>
      </c>
      <c r="B564" s="1" t="s">
        <v>1748</v>
      </c>
      <c r="C564" s="1" t="s">
        <v>537</v>
      </c>
      <c r="D564" s="1" t="s">
        <v>538</v>
      </c>
      <c r="E564" s="2" t="s">
        <v>2442</v>
      </c>
      <c r="F564" s="2" t="s">
        <v>2061</v>
      </c>
      <c r="G564" s="6">
        <v>200</v>
      </c>
      <c r="H564" s="8">
        <f t="shared" si="18"/>
        <v>172.41379310344828</v>
      </c>
      <c r="I564" s="2">
        <v>16</v>
      </c>
      <c r="J564" s="2">
        <f t="shared" si="17"/>
        <v>0.58802599999999994</v>
      </c>
      <c r="K564" t="s">
        <v>1749</v>
      </c>
      <c r="L564">
        <v>4</v>
      </c>
      <c r="M564">
        <v>71.03</v>
      </c>
      <c r="N564">
        <v>71.03</v>
      </c>
      <c r="O564">
        <v>0</v>
      </c>
      <c r="P564">
        <v>284.12</v>
      </c>
      <c r="Q564">
        <v>4</v>
      </c>
      <c r="R564">
        <v>284.12</v>
      </c>
      <c r="S564" t="s">
        <v>24</v>
      </c>
      <c r="T564" t="s">
        <v>24</v>
      </c>
      <c r="U564" t="s">
        <v>24</v>
      </c>
      <c r="V564" t="s">
        <v>25</v>
      </c>
      <c r="W564" t="s">
        <v>1749</v>
      </c>
      <c r="X564" t="s">
        <v>26</v>
      </c>
      <c r="Y564" t="s">
        <v>24</v>
      </c>
    </row>
    <row r="565" spans="1:25" x14ac:dyDescent="0.35">
      <c r="A565" s="1" t="s">
        <v>1750</v>
      </c>
      <c r="B565" s="1" t="s">
        <v>1751</v>
      </c>
      <c r="C565" s="1" t="s">
        <v>295</v>
      </c>
      <c r="D565" s="1" t="s">
        <v>296</v>
      </c>
      <c r="E565" s="2" t="s">
        <v>2443</v>
      </c>
      <c r="F565" s="2" t="s">
        <v>1975</v>
      </c>
      <c r="G565" s="6">
        <v>1380</v>
      </c>
      <c r="H565" s="8">
        <f t="shared" si="18"/>
        <v>1189.6551724137933</v>
      </c>
      <c r="I565" s="2">
        <v>16</v>
      </c>
      <c r="J565" s="2">
        <f t="shared" si="17"/>
        <v>0.72176811594202905</v>
      </c>
      <c r="K565" t="s">
        <v>1752</v>
      </c>
      <c r="L565">
        <v>1</v>
      </c>
      <c r="M565">
        <v>331</v>
      </c>
      <c r="N565">
        <v>331</v>
      </c>
      <c r="O565">
        <v>0</v>
      </c>
      <c r="P565">
        <v>331</v>
      </c>
      <c r="Q565">
        <v>1</v>
      </c>
      <c r="R565">
        <v>331</v>
      </c>
      <c r="S565" t="s">
        <v>24</v>
      </c>
      <c r="T565" t="s">
        <v>24</v>
      </c>
      <c r="U565" t="s">
        <v>24</v>
      </c>
      <c r="V565" t="s">
        <v>25</v>
      </c>
      <c r="W565" t="s">
        <v>1752</v>
      </c>
      <c r="X565" t="s">
        <v>26</v>
      </c>
      <c r="Y565" t="s">
        <v>24</v>
      </c>
    </row>
    <row r="566" spans="1:25" x14ac:dyDescent="0.35">
      <c r="A566" s="1" t="s">
        <v>1753</v>
      </c>
      <c r="B566" s="1" t="s">
        <v>1754</v>
      </c>
      <c r="C566" s="1" t="s">
        <v>295</v>
      </c>
      <c r="D566" s="1" t="s">
        <v>296</v>
      </c>
      <c r="E566" s="2" t="s">
        <v>2444</v>
      </c>
      <c r="F566" s="2" t="s">
        <v>1975</v>
      </c>
      <c r="G566" s="6">
        <v>980</v>
      </c>
      <c r="H566" s="8">
        <f t="shared" si="18"/>
        <v>844.82758620689663</v>
      </c>
      <c r="I566" s="2">
        <v>16</v>
      </c>
      <c r="J566" s="2">
        <f t="shared" si="17"/>
        <v>0.72775510204081639</v>
      </c>
      <c r="K566" t="s">
        <v>1755</v>
      </c>
      <c r="L566">
        <v>3</v>
      </c>
      <c r="M566">
        <v>230</v>
      </c>
      <c r="N566">
        <v>230</v>
      </c>
      <c r="O566">
        <v>0</v>
      </c>
      <c r="P566">
        <v>690</v>
      </c>
      <c r="Q566">
        <v>3</v>
      </c>
      <c r="R566">
        <v>690</v>
      </c>
      <c r="S566" t="s">
        <v>24</v>
      </c>
      <c r="T566" t="s">
        <v>24</v>
      </c>
      <c r="U566" t="s">
        <v>24</v>
      </c>
      <c r="V566" t="s">
        <v>25</v>
      </c>
      <c r="W566" t="s">
        <v>1755</v>
      </c>
      <c r="X566" t="s">
        <v>26</v>
      </c>
      <c r="Y566" t="s">
        <v>24</v>
      </c>
    </row>
    <row r="567" spans="1:25" x14ac:dyDescent="0.35">
      <c r="A567" s="1" t="s">
        <v>1756</v>
      </c>
      <c r="B567" s="1" t="s">
        <v>1757</v>
      </c>
      <c r="C567" s="1" t="s">
        <v>387</v>
      </c>
      <c r="D567" s="1" t="s">
        <v>388</v>
      </c>
      <c r="E567" s="2" t="s">
        <v>2445</v>
      </c>
      <c r="F567" s="2" t="s">
        <v>1994</v>
      </c>
      <c r="G567" s="6">
        <v>300</v>
      </c>
      <c r="H567" s="8">
        <f t="shared" si="18"/>
        <v>258.62068965517244</v>
      </c>
      <c r="I567" s="2">
        <v>16</v>
      </c>
      <c r="J567" s="2">
        <f t="shared" si="17"/>
        <v>0.7770866666666667</v>
      </c>
      <c r="K567" t="s">
        <v>1758</v>
      </c>
      <c r="L567">
        <v>3</v>
      </c>
      <c r="M567">
        <v>57.65</v>
      </c>
      <c r="N567">
        <v>57.65</v>
      </c>
      <c r="O567">
        <v>0</v>
      </c>
      <c r="P567">
        <v>172.95</v>
      </c>
      <c r="Q567">
        <v>3</v>
      </c>
      <c r="R567">
        <v>172.95</v>
      </c>
      <c r="S567" t="s">
        <v>24</v>
      </c>
      <c r="T567" t="s">
        <v>24</v>
      </c>
      <c r="U567" t="s">
        <v>24</v>
      </c>
      <c r="V567" t="s">
        <v>25</v>
      </c>
      <c r="W567" t="s">
        <v>1758</v>
      </c>
      <c r="X567" t="s">
        <v>26</v>
      </c>
      <c r="Y567" t="s">
        <v>24</v>
      </c>
    </row>
    <row r="568" spans="1:25" x14ac:dyDescent="0.35">
      <c r="A568" s="1" t="s">
        <v>1759</v>
      </c>
      <c r="B568" s="1" t="s">
        <v>1760</v>
      </c>
      <c r="C568" s="1" t="s">
        <v>315</v>
      </c>
      <c r="D568" s="1" t="s">
        <v>316</v>
      </c>
      <c r="E568" s="2" t="s">
        <v>2446</v>
      </c>
      <c r="F568" s="2" t="s">
        <v>1994</v>
      </c>
      <c r="G568" s="6">
        <v>180</v>
      </c>
      <c r="H568" s="8">
        <f t="shared" si="18"/>
        <v>155.17241379310346</v>
      </c>
      <c r="I568" s="2">
        <v>16</v>
      </c>
      <c r="J568" s="2">
        <f t="shared" si="17"/>
        <v>0.73577777777777786</v>
      </c>
      <c r="K568" t="s">
        <v>1761</v>
      </c>
      <c r="L568">
        <v>2</v>
      </c>
      <c r="M568">
        <v>41</v>
      </c>
      <c r="N568">
        <v>41</v>
      </c>
      <c r="O568">
        <v>0</v>
      </c>
      <c r="P568">
        <v>82</v>
      </c>
      <c r="Q568">
        <v>2</v>
      </c>
      <c r="R568">
        <v>82</v>
      </c>
      <c r="S568" t="s">
        <v>24</v>
      </c>
      <c r="T568" t="s">
        <v>24</v>
      </c>
      <c r="U568" t="s">
        <v>24</v>
      </c>
      <c r="V568" t="s">
        <v>25</v>
      </c>
      <c r="W568" t="s">
        <v>1761</v>
      </c>
      <c r="X568" t="s">
        <v>26</v>
      </c>
      <c r="Y568" t="s">
        <v>24</v>
      </c>
    </row>
    <row r="569" spans="1:25" x14ac:dyDescent="0.35">
      <c r="A569" s="1" t="s">
        <v>1762</v>
      </c>
      <c r="B569" s="1" t="s">
        <v>1763</v>
      </c>
      <c r="C569" s="1" t="s">
        <v>34</v>
      </c>
      <c r="D569" s="1" t="s">
        <v>35</v>
      </c>
      <c r="E569" s="2" t="s">
        <v>2447</v>
      </c>
      <c r="F569" s="2" t="s">
        <v>1975</v>
      </c>
      <c r="G569" s="6">
        <v>240</v>
      </c>
      <c r="H569" s="8">
        <f t="shared" si="18"/>
        <v>206.89655172413794</v>
      </c>
      <c r="I569" s="2">
        <v>16</v>
      </c>
      <c r="J569" s="2">
        <f t="shared" si="17"/>
        <v>0.69350528333333328</v>
      </c>
      <c r="K569" t="s">
        <v>1764</v>
      </c>
      <c r="L569">
        <v>5</v>
      </c>
      <c r="M569">
        <v>63.412700000000001</v>
      </c>
      <c r="N569">
        <v>63.412700000000001</v>
      </c>
      <c r="O569">
        <v>0</v>
      </c>
      <c r="P569">
        <v>317.06349999999998</v>
      </c>
      <c r="Q569">
        <v>5</v>
      </c>
      <c r="R569">
        <v>317.06</v>
      </c>
      <c r="S569" t="s">
        <v>24</v>
      </c>
      <c r="T569" t="s">
        <v>24</v>
      </c>
      <c r="U569" t="s">
        <v>24</v>
      </c>
      <c r="V569" t="s">
        <v>25</v>
      </c>
      <c r="W569" t="s">
        <v>1764</v>
      </c>
      <c r="X569" t="s">
        <v>26</v>
      </c>
      <c r="Y569" t="s">
        <v>24</v>
      </c>
    </row>
    <row r="570" spans="1:25" x14ac:dyDescent="0.35">
      <c r="A570" s="1" t="s">
        <v>1765</v>
      </c>
      <c r="B570" s="1" t="s">
        <v>1766</v>
      </c>
      <c r="C570" s="1" t="s">
        <v>392</v>
      </c>
      <c r="D570" s="1" t="s">
        <v>393</v>
      </c>
      <c r="E570" s="2" t="s">
        <v>2448</v>
      </c>
      <c r="F570" s="2" t="s">
        <v>1975</v>
      </c>
      <c r="G570" s="6">
        <v>940</v>
      </c>
      <c r="H570" s="8">
        <f t="shared" si="18"/>
        <v>810.34482758620697</v>
      </c>
      <c r="I570" s="2">
        <v>16</v>
      </c>
      <c r="J570" s="2">
        <f t="shared" si="17"/>
        <v>0.50638297872340432</v>
      </c>
      <c r="K570" t="s">
        <v>1767</v>
      </c>
      <c r="L570">
        <v>2</v>
      </c>
      <c r="M570">
        <v>400</v>
      </c>
      <c r="N570">
        <v>400</v>
      </c>
      <c r="O570">
        <v>0</v>
      </c>
      <c r="P570">
        <v>800</v>
      </c>
      <c r="Q570">
        <v>2</v>
      </c>
      <c r="R570">
        <v>800</v>
      </c>
      <c r="S570" t="s">
        <v>24</v>
      </c>
      <c r="T570" t="s">
        <v>24</v>
      </c>
      <c r="U570" t="s">
        <v>24</v>
      </c>
      <c r="V570" t="s">
        <v>25</v>
      </c>
      <c r="W570" t="s">
        <v>1767</v>
      </c>
      <c r="X570" t="s">
        <v>26</v>
      </c>
      <c r="Y570" t="s">
        <v>24</v>
      </c>
    </row>
    <row r="571" spans="1:25" x14ac:dyDescent="0.35">
      <c r="A571" s="1" t="s">
        <v>1768</v>
      </c>
      <c r="B571" s="1" t="s">
        <v>1769</v>
      </c>
      <c r="C571" s="1" t="s">
        <v>34</v>
      </c>
      <c r="D571" s="1" t="s">
        <v>35</v>
      </c>
      <c r="E571" s="2" t="s">
        <v>2449</v>
      </c>
      <c r="F571" s="2" t="s">
        <v>1975</v>
      </c>
      <c r="G571" s="6">
        <v>2660</v>
      </c>
      <c r="H571" s="8">
        <f t="shared" si="18"/>
        <v>2293.1034482758623</v>
      </c>
      <c r="I571" s="2">
        <v>16</v>
      </c>
      <c r="J571" s="2">
        <f t="shared" si="17"/>
        <v>0.69909774436090233</v>
      </c>
      <c r="K571" t="s">
        <v>1770</v>
      </c>
      <c r="L571">
        <v>3</v>
      </c>
      <c r="M571">
        <v>690</v>
      </c>
      <c r="N571">
        <v>690</v>
      </c>
      <c r="O571">
        <v>0</v>
      </c>
      <c r="P571">
        <v>2070</v>
      </c>
      <c r="Q571">
        <v>3</v>
      </c>
      <c r="R571">
        <v>2070</v>
      </c>
      <c r="S571" t="s">
        <v>24</v>
      </c>
      <c r="T571" t="s">
        <v>24</v>
      </c>
      <c r="U571" t="s">
        <v>24</v>
      </c>
      <c r="V571" t="s">
        <v>25</v>
      </c>
      <c r="W571" t="s">
        <v>1770</v>
      </c>
      <c r="X571" t="s">
        <v>26</v>
      </c>
      <c r="Y571" t="s">
        <v>24</v>
      </c>
    </row>
    <row r="572" spans="1:25" x14ac:dyDescent="0.35">
      <c r="A572" s="1" t="s">
        <v>1771</v>
      </c>
      <c r="B572" s="1" t="s">
        <v>1772</v>
      </c>
      <c r="C572" s="1" t="s">
        <v>292</v>
      </c>
      <c r="D572" s="1" t="s">
        <v>293</v>
      </c>
      <c r="E572" s="2" t="s">
        <v>2450</v>
      </c>
      <c r="F572" s="2" t="s">
        <v>1975</v>
      </c>
      <c r="G572" s="6">
        <v>1780</v>
      </c>
      <c r="H572" s="8">
        <f t="shared" si="18"/>
        <v>1534.4827586206898</v>
      </c>
      <c r="I572" s="2">
        <v>16</v>
      </c>
      <c r="J572" s="2">
        <f t="shared" si="17"/>
        <v>0.7399775280898877</v>
      </c>
      <c r="K572" t="s">
        <v>1773</v>
      </c>
      <c r="L572">
        <v>1</v>
      </c>
      <c r="M572">
        <v>399</v>
      </c>
      <c r="N572">
        <v>399</v>
      </c>
      <c r="O572">
        <v>0</v>
      </c>
      <c r="P572">
        <v>399</v>
      </c>
      <c r="Q572">
        <v>1</v>
      </c>
      <c r="R572">
        <v>399</v>
      </c>
      <c r="S572" t="s">
        <v>24</v>
      </c>
      <c r="T572" t="s">
        <v>24</v>
      </c>
      <c r="U572" t="s">
        <v>24</v>
      </c>
      <c r="V572" t="s">
        <v>25</v>
      </c>
      <c r="W572" t="s">
        <v>1773</v>
      </c>
      <c r="X572" t="s">
        <v>26</v>
      </c>
      <c r="Y572" t="s">
        <v>24</v>
      </c>
    </row>
    <row r="573" spans="1:25" x14ac:dyDescent="0.35">
      <c r="A573" s="1" t="s">
        <v>1774</v>
      </c>
      <c r="B573" s="1" t="s">
        <v>1775</v>
      </c>
      <c r="C573" s="1" t="s">
        <v>392</v>
      </c>
      <c r="D573" s="1" t="s">
        <v>393</v>
      </c>
      <c r="E573" s="2" t="s">
        <v>2451</v>
      </c>
      <c r="F573" s="2" t="s">
        <v>1975</v>
      </c>
      <c r="G573" s="6">
        <v>840</v>
      </c>
      <c r="H573" s="8">
        <f t="shared" si="18"/>
        <v>724.13793103448279</v>
      </c>
      <c r="I573" s="2">
        <v>16</v>
      </c>
      <c r="J573" s="2">
        <f t="shared" si="17"/>
        <v>0.51666666666666661</v>
      </c>
      <c r="K573" t="s">
        <v>1776</v>
      </c>
      <c r="L573">
        <v>3</v>
      </c>
      <c r="M573">
        <v>350</v>
      </c>
      <c r="N573">
        <v>350</v>
      </c>
      <c r="O573">
        <v>0</v>
      </c>
      <c r="P573">
        <v>1050</v>
      </c>
      <c r="Q573">
        <v>3</v>
      </c>
      <c r="R573">
        <v>1050</v>
      </c>
      <c r="S573" t="s">
        <v>24</v>
      </c>
      <c r="T573" t="s">
        <v>24</v>
      </c>
      <c r="U573" t="s">
        <v>24</v>
      </c>
      <c r="V573" t="s">
        <v>25</v>
      </c>
      <c r="W573" t="s">
        <v>1776</v>
      </c>
      <c r="X573" t="s">
        <v>26</v>
      </c>
      <c r="Y573" t="s">
        <v>24</v>
      </c>
    </row>
    <row r="574" spans="1:25" x14ac:dyDescent="0.35">
      <c r="A574" s="1" t="s">
        <v>1777</v>
      </c>
      <c r="B574" s="1" t="s">
        <v>1778</v>
      </c>
      <c r="C574" s="1" t="s">
        <v>392</v>
      </c>
      <c r="D574" s="1" t="s">
        <v>393</v>
      </c>
      <c r="E574" s="2" t="s">
        <v>2452</v>
      </c>
      <c r="F574" s="2" t="s">
        <v>1975</v>
      </c>
      <c r="G574" s="6">
        <v>1640</v>
      </c>
      <c r="H574" s="8">
        <f t="shared" si="18"/>
        <v>1413.793103448276</v>
      </c>
      <c r="I574" s="2">
        <v>16</v>
      </c>
      <c r="J574" s="2">
        <f t="shared" si="17"/>
        <v>0.69939024390243909</v>
      </c>
      <c r="K574" t="s">
        <v>1779</v>
      </c>
      <c r="L574">
        <v>1</v>
      </c>
      <c r="M574">
        <v>425</v>
      </c>
      <c r="N574">
        <v>425</v>
      </c>
      <c r="O574">
        <v>0</v>
      </c>
      <c r="P574">
        <v>425</v>
      </c>
      <c r="Q574">
        <v>1</v>
      </c>
      <c r="R574">
        <v>425</v>
      </c>
      <c r="S574" t="s">
        <v>24</v>
      </c>
      <c r="T574" t="s">
        <v>24</v>
      </c>
      <c r="U574" t="s">
        <v>24</v>
      </c>
      <c r="V574" t="s">
        <v>25</v>
      </c>
      <c r="W574" t="s">
        <v>1779</v>
      </c>
      <c r="X574" t="s">
        <v>26</v>
      </c>
      <c r="Y574" t="s">
        <v>24</v>
      </c>
    </row>
    <row r="575" spans="1:25" x14ac:dyDescent="0.35">
      <c r="A575" s="1" t="s">
        <v>1780</v>
      </c>
      <c r="B575" s="1" t="s">
        <v>1781</v>
      </c>
      <c r="C575" s="1" t="s">
        <v>453</v>
      </c>
      <c r="D575" s="1" t="s">
        <v>454</v>
      </c>
      <c r="E575" s="2" t="s">
        <v>2453</v>
      </c>
      <c r="F575" s="2" t="s">
        <v>1994</v>
      </c>
      <c r="G575" s="6">
        <v>160</v>
      </c>
      <c r="H575" s="8">
        <f t="shared" si="18"/>
        <v>137.93103448275863</v>
      </c>
      <c r="I575" s="2">
        <v>16</v>
      </c>
      <c r="J575" s="2">
        <f t="shared" si="17"/>
        <v>0.6970225000000001</v>
      </c>
      <c r="K575" t="s">
        <v>1782</v>
      </c>
      <c r="L575">
        <v>1</v>
      </c>
      <c r="M575">
        <v>41.79</v>
      </c>
      <c r="N575">
        <v>41.79</v>
      </c>
      <c r="O575">
        <v>0</v>
      </c>
      <c r="P575">
        <v>41.79</v>
      </c>
      <c r="Q575">
        <v>1</v>
      </c>
      <c r="R575">
        <v>41.79</v>
      </c>
      <c r="S575" t="s">
        <v>24</v>
      </c>
      <c r="T575" t="s">
        <v>24</v>
      </c>
      <c r="U575" t="s">
        <v>24</v>
      </c>
      <c r="V575" t="s">
        <v>25</v>
      </c>
      <c r="W575" t="s">
        <v>1782</v>
      </c>
      <c r="X575" t="s">
        <v>26</v>
      </c>
      <c r="Y575" t="s">
        <v>24</v>
      </c>
    </row>
    <row r="576" spans="1:25" x14ac:dyDescent="0.35">
      <c r="A576" s="1" t="s">
        <v>1783</v>
      </c>
      <c r="B576" s="1" t="s">
        <v>1784</v>
      </c>
      <c r="C576" s="1" t="s">
        <v>392</v>
      </c>
      <c r="D576" s="1" t="s">
        <v>393</v>
      </c>
      <c r="E576" s="2" t="s">
        <v>2454</v>
      </c>
      <c r="F576" s="2" t="s">
        <v>1975</v>
      </c>
      <c r="G576" s="6">
        <v>1360</v>
      </c>
      <c r="H576" s="8">
        <f t="shared" si="18"/>
        <v>1172.4137931034484</v>
      </c>
      <c r="I576" s="2">
        <v>16</v>
      </c>
      <c r="J576" s="2">
        <f t="shared" si="17"/>
        <v>0.70147058823529407</v>
      </c>
      <c r="K576" t="s">
        <v>1785</v>
      </c>
      <c r="L576">
        <v>1</v>
      </c>
      <c r="M576">
        <v>350</v>
      </c>
      <c r="N576">
        <v>350</v>
      </c>
      <c r="O576">
        <v>0</v>
      </c>
      <c r="P576">
        <v>350</v>
      </c>
      <c r="Q576">
        <v>1</v>
      </c>
      <c r="R576">
        <v>350</v>
      </c>
      <c r="S576" t="s">
        <v>24</v>
      </c>
      <c r="T576" t="s">
        <v>24</v>
      </c>
      <c r="U576" t="s">
        <v>24</v>
      </c>
      <c r="V576" t="s">
        <v>25</v>
      </c>
      <c r="W576" t="s">
        <v>1785</v>
      </c>
      <c r="X576" t="s">
        <v>26</v>
      </c>
      <c r="Y576" t="s">
        <v>24</v>
      </c>
    </row>
    <row r="577" spans="1:25" x14ac:dyDescent="0.35">
      <c r="A577" s="1" t="s">
        <v>1786</v>
      </c>
      <c r="B577" s="1" t="s">
        <v>1787</v>
      </c>
      <c r="C577" s="1" t="s">
        <v>633</v>
      </c>
      <c r="D577" s="1" t="s">
        <v>634</v>
      </c>
      <c r="E577" s="2" t="s">
        <v>2455</v>
      </c>
      <c r="F577" s="2" t="s">
        <v>2082</v>
      </c>
      <c r="G577" s="6">
        <v>100</v>
      </c>
      <c r="H577" s="8">
        <f t="shared" si="18"/>
        <v>92.592592592592581</v>
      </c>
      <c r="I577" s="2">
        <v>8</v>
      </c>
      <c r="J577" s="2">
        <f t="shared" si="17"/>
        <v>0.73431999999999997</v>
      </c>
      <c r="K577" t="s">
        <v>1788</v>
      </c>
      <c r="L577">
        <v>8</v>
      </c>
      <c r="M577">
        <v>24.6</v>
      </c>
      <c r="N577">
        <v>24.6</v>
      </c>
      <c r="O577">
        <v>0</v>
      </c>
      <c r="P577">
        <v>172.2</v>
      </c>
      <c r="Q577">
        <v>7</v>
      </c>
      <c r="R577">
        <v>172.2</v>
      </c>
      <c r="S577" t="s">
        <v>24</v>
      </c>
      <c r="T577" t="s">
        <v>24</v>
      </c>
      <c r="U577" t="s">
        <v>24</v>
      </c>
      <c r="V577" t="s">
        <v>25</v>
      </c>
      <c r="W577" t="s">
        <v>1788</v>
      </c>
      <c r="X577" t="s">
        <v>26</v>
      </c>
      <c r="Y577" t="s">
        <v>24</v>
      </c>
    </row>
    <row r="578" spans="1:25" x14ac:dyDescent="0.35">
      <c r="A578" s="1" t="s">
        <v>1789</v>
      </c>
      <c r="B578" s="1" t="s">
        <v>1790</v>
      </c>
      <c r="C578" s="1" t="s">
        <v>249</v>
      </c>
      <c r="D578" s="1" t="s">
        <v>250</v>
      </c>
      <c r="E578" s="2" t="s">
        <v>2456</v>
      </c>
      <c r="F578" s="2" t="s">
        <v>2154</v>
      </c>
      <c r="G578" s="6">
        <v>60</v>
      </c>
      <c r="H578" s="8">
        <f t="shared" si="18"/>
        <v>51.724137931034484</v>
      </c>
      <c r="I578" s="2">
        <v>16</v>
      </c>
      <c r="J578" s="2">
        <f t="shared" si="17"/>
        <v>-2.0132566000000001</v>
      </c>
      <c r="K578" t="s">
        <v>1791</v>
      </c>
      <c r="L578">
        <v>9</v>
      </c>
      <c r="M578">
        <v>155.85810000000001</v>
      </c>
      <c r="N578">
        <v>155.85810000000001</v>
      </c>
      <c r="O578">
        <v>0</v>
      </c>
      <c r="P578">
        <v>1402.7229</v>
      </c>
      <c r="Q578">
        <v>9</v>
      </c>
      <c r="R578">
        <v>1402.72</v>
      </c>
      <c r="S578" t="s">
        <v>24</v>
      </c>
      <c r="T578" t="s">
        <v>24</v>
      </c>
      <c r="U578" t="s">
        <v>24</v>
      </c>
      <c r="V578" t="s">
        <v>25</v>
      </c>
      <c r="W578" t="s">
        <v>1791</v>
      </c>
      <c r="X578" t="s">
        <v>26</v>
      </c>
      <c r="Y578" t="s">
        <v>24</v>
      </c>
    </row>
    <row r="579" spans="1:25" x14ac:dyDescent="0.35">
      <c r="A579" s="1" t="s">
        <v>1792</v>
      </c>
      <c r="B579" s="1" t="s">
        <v>1793</v>
      </c>
      <c r="C579" s="1" t="s">
        <v>249</v>
      </c>
      <c r="D579" s="1" t="s">
        <v>250</v>
      </c>
      <c r="E579" s="2" t="s">
        <v>2457</v>
      </c>
      <c r="F579" s="2" t="s">
        <v>1975</v>
      </c>
      <c r="G579" s="6">
        <v>2400</v>
      </c>
      <c r="H579" s="8">
        <f t="shared" si="18"/>
        <v>2068.9655172413795</v>
      </c>
      <c r="I579" s="2">
        <v>16</v>
      </c>
      <c r="J579" s="2">
        <f t="shared" ref="J579:J620" si="19">1-M579/H579</f>
        <v>0.7124166666666667</v>
      </c>
      <c r="K579" t="s">
        <v>1794</v>
      </c>
      <c r="L579">
        <v>2</v>
      </c>
      <c r="M579">
        <v>595</v>
      </c>
      <c r="N579">
        <v>595</v>
      </c>
      <c r="O579">
        <v>0</v>
      </c>
      <c r="P579">
        <v>1190</v>
      </c>
      <c r="Q579">
        <v>2</v>
      </c>
      <c r="R579">
        <v>1190</v>
      </c>
      <c r="S579" t="s">
        <v>24</v>
      </c>
      <c r="T579" t="s">
        <v>24</v>
      </c>
      <c r="U579" t="s">
        <v>24</v>
      </c>
      <c r="V579" t="s">
        <v>25</v>
      </c>
      <c r="W579" t="s">
        <v>1794</v>
      </c>
      <c r="X579" t="s">
        <v>26</v>
      </c>
      <c r="Y579" t="s">
        <v>24</v>
      </c>
    </row>
    <row r="580" spans="1:25" x14ac:dyDescent="0.35">
      <c r="A580" s="1" t="s">
        <v>1795</v>
      </c>
      <c r="B580" s="1" t="s">
        <v>1796</v>
      </c>
      <c r="C580" s="1" t="s">
        <v>249</v>
      </c>
      <c r="D580" s="1" t="s">
        <v>250</v>
      </c>
      <c r="E580" s="2" t="s">
        <v>2458</v>
      </c>
      <c r="F580" s="2" t="s">
        <v>1975</v>
      </c>
      <c r="G580" s="6">
        <v>2080</v>
      </c>
      <c r="H580" s="8">
        <f t="shared" ref="H580:H620" si="20">+G580/(1+I580/100)</f>
        <v>1793.1034482758621</v>
      </c>
      <c r="I580" s="2">
        <v>16</v>
      </c>
      <c r="J580" s="2">
        <f t="shared" si="19"/>
        <v>0.69884615384615389</v>
      </c>
      <c r="K580" t="s">
        <v>1797</v>
      </c>
      <c r="L580">
        <v>1</v>
      </c>
      <c r="M580">
        <v>540</v>
      </c>
      <c r="N580">
        <v>540</v>
      </c>
      <c r="O580">
        <v>0</v>
      </c>
      <c r="P580">
        <v>540</v>
      </c>
      <c r="Q580">
        <v>1</v>
      </c>
      <c r="R580">
        <v>540</v>
      </c>
      <c r="S580" t="s">
        <v>24</v>
      </c>
      <c r="T580" t="s">
        <v>24</v>
      </c>
      <c r="U580" t="s">
        <v>24</v>
      </c>
      <c r="V580" t="s">
        <v>25</v>
      </c>
      <c r="W580" t="s">
        <v>1797</v>
      </c>
      <c r="X580" t="s">
        <v>26</v>
      </c>
      <c r="Y580" t="s">
        <v>24</v>
      </c>
    </row>
    <row r="581" spans="1:25" x14ac:dyDescent="0.35">
      <c r="A581" s="1" t="s">
        <v>1798</v>
      </c>
      <c r="B581" s="1" t="s">
        <v>1799</v>
      </c>
      <c r="C581" s="1" t="s">
        <v>392</v>
      </c>
      <c r="D581" s="1" t="s">
        <v>393</v>
      </c>
      <c r="E581" s="2" t="s">
        <v>2459</v>
      </c>
      <c r="F581" s="2" t="s">
        <v>1975</v>
      </c>
      <c r="G581" s="6">
        <v>3020</v>
      </c>
      <c r="H581" s="8">
        <f t="shared" si="20"/>
        <v>2603.4482758620693</v>
      </c>
      <c r="I581" s="2">
        <v>16</v>
      </c>
      <c r="J581" s="2">
        <f t="shared" si="19"/>
        <v>0.70039735099337752</v>
      </c>
      <c r="K581" t="s">
        <v>1800</v>
      </c>
      <c r="L581">
        <v>1</v>
      </c>
      <c r="M581">
        <v>780</v>
      </c>
      <c r="N581">
        <v>780</v>
      </c>
      <c r="O581">
        <v>0</v>
      </c>
      <c r="P581">
        <v>780</v>
      </c>
      <c r="Q581">
        <v>1</v>
      </c>
      <c r="R581">
        <v>780</v>
      </c>
      <c r="S581" t="s">
        <v>24</v>
      </c>
      <c r="T581" t="s">
        <v>24</v>
      </c>
      <c r="U581" t="s">
        <v>24</v>
      </c>
      <c r="V581" t="s">
        <v>25</v>
      </c>
      <c r="W581" t="s">
        <v>1800</v>
      </c>
      <c r="X581" t="s">
        <v>26</v>
      </c>
      <c r="Y581" t="s">
        <v>24</v>
      </c>
    </row>
    <row r="582" spans="1:25" x14ac:dyDescent="0.35">
      <c r="A582" s="1" t="s">
        <v>1801</v>
      </c>
      <c r="B582" s="1" t="s">
        <v>1802</v>
      </c>
      <c r="C582" s="1" t="s">
        <v>392</v>
      </c>
      <c r="D582" s="1" t="s">
        <v>393</v>
      </c>
      <c r="E582" s="2" t="s">
        <v>2460</v>
      </c>
      <c r="F582" s="2" t="s">
        <v>1975</v>
      </c>
      <c r="G582" s="6">
        <v>4440</v>
      </c>
      <c r="H582" s="8">
        <f t="shared" si="20"/>
        <v>3827.5862068965521</v>
      </c>
      <c r="I582" s="2">
        <v>16</v>
      </c>
      <c r="J582" s="2">
        <f t="shared" si="19"/>
        <v>0.75349216216216219</v>
      </c>
      <c r="K582" t="s">
        <v>1803</v>
      </c>
      <c r="L582">
        <v>1</v>
      </c>
      <c r="M582">
        <v>943.53</v>
      </c>
      <c r="N582">
        <v>943.53</v>
      </c>
      <c r="O582">
        <v>0</v>
      </c>
      <c r="P582">
        <v>943.53</v>
      </c>
      <c r="Q582">
        <v>1</v>
      </c>
      <c r="R582">
        <v>943.53</v>
      </c>
      <c r="S582" t="s">
        <v>24</v>
      </c>
      <c r="T582" t="s">
        <v>24</v>
      </c>
      <c r="U582" t="s">
        <v>24</v>
      </c>
      <c r="V582" t="s">
        <v>25</v>
      </c>
      <c r="W582" t="s">
        <v>1803</v>
      </c>
      <c r="X582" t="s">
        <v>26</v>
      </c>
      <c r="Y582" t="s">
        <v>24</v>
      </c>
    </row>
    <row r="583" spans="1:25" x14ac:dyDescent="0.35">
      <c r="A583" s="1" t="s">
        <v>1804</v>
      </c>
      <c r="B583" s="1" t="s">
        <v>1805</v>
      </c>
      <c r="C583" s="1" t="s">
        <v>467</v>
      </c>
      <c r="D583" s="1" t="s">
        <v>468</v>
      </c>
      <c r="E583" s="2" t="s">
        <v>2461</v>
      </c>
      <c r="F583" s="2" t="s">
        <v>1975</v>
      </c>
      <c r="G583" s="6">
        <v>980</v>
      </c>
      <c r="H583" s="8">
        <f t="shared" si="20"/>
        <v>844.82758620689663</v>
      </c>
      <c r="I583" s="2">
        <v>16</v>
      </c>
      <c r="J583" s="2">
        <f t="shared" si="19"/>
        <v>0.69792653061224486</v>
      </c>
      <c r="K583" t="s">
        <v>1806</v>
      </c>
      <c r="L583">
        <v>1</v>
      </c>
      <c r="M583">
        <v>255.2</v>
      </c>
      <c r="N583">
        <v>255.2</v>
      </c>
      <c r="O583">
        <v>0</v>
      </c>
      <c r="P583">
        <v>255.2</v>
      </c>
      <c r="Q583">
        <v>1</v>
      </c>
      <c r="R583">
        <v>255.2</v>
      </c>
      <c r="S583" t="s">
        <v>24</v>
      </c>
      <c r="T583" t="s">
        <v>24</v>
      </c>
      <c r="U583" t="s">
        <v>24</v>
      </c>
      <c r="V583" t="s">
        <v>25</v>
      </c>
      <c r="W583" t="s">
        <v>1806</v>
      </c>
      <c r="X583" t="s">
        <v>26</v>
      </c>
      <c r="Y583" t="s">
        <v>24</v>
      </c>
    </row>
    <row r="584" spans="1:25" x14ac:dyDescent="0.35">
      <c r="A584" s="1" t="s">
        <v>1807</v>
      </c>
      <c r="B584" s="1" t="s">
        <v>1808</v>
      </c>
      <c r="C584" s="1" t="s">
        <v>21</v>
      </c>
      <c r="D584" s="1" t="s">
        <v>22</v>
      </c>
      <c r="E584" s="2" t="s">
        <v>2462</v>
      </c>
      <c r="F584" s="2" t="s">
        <v>1911</v>
      </c>
      <c r="G584" s="6">
        <v>2100</v>
      </c>
      <c r="H584" s="8">
        <f t="shared" si="20"/>
        <v>1810.344827586207</v>
      </c>
      <c r="I584" s="2">
        <v>16</v>
      </c>
      <c r="J584" s="2">
        <f t="shared" si="19"/>
        <v>0.69997428571428566</v>
      </c>
      <c r="K584" t="s">
        <v>1809</v>
      </c>
      <c r="L584">
        <v>1</v>
      </c>
      <c r="M584">
        <v>543.15</v>
      </c>
      <c r="N584">
        <v>543.15</v>
      </c>
      <c r="O584">
        <v>0</v>
      </c>
      <c r="P584">
        <v>543.15</v>
      </c>
      <c r="Q584">
        <v>1</v>
      </c>
      <c r="R584">
        <v>543.15</v>
      </c>
      <c r="S584" t="s">
        <v>24</v>
      </c>
      <c r="T584" t="s">
        <v>24</v>
      </c>
      <c r="U584" t="s">
        <v>24</v>
      </c>
      <c r="V584" t="s">
        <v>25</v>
      </c>
      <c r="W584" t="s">
        <v>1809</v>
      </c>
      <c r="X584" t="s">
        <v>26</v>
      </c>
      <c r="Y584" t="s">
        <v>24</v>
      </c>
    </row>
    <row r="585" spans="1:25" x14ac:dyDescent="0.35">
      <c r="A585" s="1" t="s">
        <v>1810</v>
      </c>
      <c r="B585" s="1" t="s">
        <v>1811</v>
      </c>
      <c r="C585" s="1" t="s">
        <v>21</v>
      </c>
      <c r="D585" s="1" t="s">
        <v>22</v>
      </c>
      <c r="E585" s="2" t="s">
        <v>2463</v>
      </c>
      <c r="F585" s="2" t="s">
        <v>1911</v>
      </c>
      <c r="G585" s="6">
        <v>2480</v>
      </c>
      <c r="H585" s="8">
        <f t="shared" si="20"/>
        <v>2137.9310344827586</v>
      </c>
      <c r="I585" s="2">
        <v>16</v>
      </c>
      <c r="J585" s="2">
        <f t="shared" si="19"/>
        <v>0.70044403225806451</v>
      </c>
      <c r="K585" t="s">
        <v>1812</v>
      </c>
      <c r="L585">
        <v>1</v>
      </c>
      <c r="M585">
        <v>640.42999999999995</v>
      </c>
      <c r="N585">
        <v>640.42999999999995</v>
      </c>
      <c r="O585">
        <v>0</v>
      </c>
      <c r="P585">
        <v>640.42999999999995</v>
      </c>
      <c r="Q585">
        <v>1</v>
      </c>
      <c r="R585">
        <v>640.42999999999995</v>
      </c>
      <c r="S585" t="s">
        <v>24</v>
      </c>
      <c r="T585" t="s">
        <v>24</v>
      </c>
      <c r="U585" t="s">
        <v>24</v>
      </c>
      <c r="V585" t="s">
        <v>25</v>
      </c>
      <c r="W585" t="s">
        <v>1812</v>
      </c>
      <c r="X585" t="s">
        <v>26</v>
      </c>
      <c r="Y585" t="s">
        <v>24</v>
      </c>
    </row>
    <row r="586" spans="1:25" x14ac:dyDescent="0.35">
      <c r="A586" s="1" t="s">
        <v>1813</v>
      </c>
      <c r="B586" s="1" t="s">
        <v>1814</v>
      </c>
      <c r="C586" s="1" t="s">
        <v>21</v>
      </c>
      <c r="D586" s="1" t="s">
        <v>22</v>
      </c>
      <c r="E586" s="2" t="s">
        <v>2464</v>
      </c>
      <c r="F586" s="2" t="s">
        <v>1911</v>
      </c>
      <c r="G586" s="6">
        <v>4420</v>
      </c>
      <c r="H586" s="8">
        <f t="shared" si="20"/>
        <v>3810.344827586207</v>
      </c>
      <c r="I586" s="2">
        <v>16</v>
      </c>
      <c r="J586" s="2">
        <f t="shared" si="19"/>
        <v>0.70062289592760174</v>
      </c>
      <c r="K586" t="s">
        <v>1815</v>
      </c>
      <c r="L586">
        <v>1</v>
      </c>
      <c r="M586">
        <v>1140.73</v>
      </c>
      <c r="N586">
        <v>1140.73</v>
      </c>
      <c r="O586">
        <v>0</v>
      </c>
      <c r="P586">
        <v>1140.73</v>
      </c>
      <c r="Q586">
        <v>1</v>
      </c>
      <c r="R586">
        <v>1140.73</v>
      </c>
      <c r="S586" t="s">
        <v>24</v>
      </c>
      <c r="T586" t="s">
        <v>24</v>
      </c>
      <c r="U586" t="s">
        <v>24</v>
      </c>
      <c r="V586" t="s">
        <v>25</v>
      </c>
      <c r="W586" t="s">
        <v>1815</v>
      </c>
      <c r="X586" t="s">
        <v>26</v>
      </c>
      <c r="Y586" t="s">
        <v>24</v>
      </c>
    </row>
    <row r="587" spans="1:25" x14ac:dyDescent="0.35">
      <c r="A587" s="1" t="s">
        <v>1816</v>
      </c>
      <c r="B587" s="1" t="s">
        <v>1817</v>
      </c>
      <c r="C587" s="1" t="s">
        <v>21</v>
      </c>
      <c r="D587" s="1" t="s">
        <v>22</v>
      </c>
      <c r="E587" s="2" t="s">
        <v>2465</v>
      </c>
      <c r="F587" s="2" t="s">
        <v>1911</v>
      </c>
      <c r="G587" s="6">
        <v>960</v>
      </c>
      <c r="H587" s="8">
        <f t="shared" si="20"/>
        <v>827.58620689655174</v>
      </c>
      <c r="I587" s="2">
        <v>16</v>
      </c>
      <c r="J587" s="2">
        <f t="shared" si="19"/>
        <v>0.70162202083333325</v>
      </c>
      <c r="K587" t="s">
        <v>1818</v>
      </c>
      <c r="L587">
        <v>1</v>
      </c>
      <c r="M587">
        <v>246.93350000000001</v>
      </c>
      <c r="N587">
        <v>246.93350000000001</v>
      </c>
      <c r="O587">
        <v>0</v>
      </c>
      <c r="P587">
        <v>246.93350000000001</v>
      </c>
      <c r="Q587">
        <v>1</v>
      </c>
      <c r="R587">
        <v>246.93</v>
      </c>
      <c r="S587" t="s">
        <v>24</v>
      </c>
      <c r="T587" t="s">
        <v>24</v>
      </c>
      <c r="U587" t="s">
        <v>24</v>
      </c>
      <c r="V587" t="s">
        <v>25</v>
      </c>
      <c r="W587" t="s">
        <v>1818</v>
      </c>
      <c r="X587" t="s">
        <v>26</v>
      </c>
      <c r="Y587" t="s">
        <v>24</v>
      </c>
    </row>
    <row r="588" spans="1:25" x14ac:dyDescent="0.35">
      <c r="A588" s="1" t="s">
        <v>1819</v>
      </c>
      <c r="B588" s="1" t="s">
        <v>1820</v>
      </c>
      <c r="C588" s="1" t="s">
        <v>431</v>
      </c>
      <c r="D588" s="1" t="s">
        <v>432</v>
      </c>
      <c r="E588" s="2" t="s">
        <v>2466</v>
      </c>
      <c r="F588" s="2" t="s">
        <v>1975</v>
      </c>
      <c r="G588" s="6">
        <v>1500</v>
      </c>
      <c r="H588" s="8">
        <f t="shared" si="20"/>
        <v>1293.1034482758621</v>
      </c>
      <c r="I588" s="2">
        <v>16</v>
      </c>
      <c r="J588" s="2">
        <f t="shared" si="19"/>
        <v>0.70033333333333336</v>
      </c>
      <c r="K588" t="s">
        <v>1821</v>
      </c>
      <c r="L588">
        <v>2</v>
      </c>
      <c r="M588">
        <v>387.5</v>
      </c>
      <c r="N588">
        <v>387.5</v>
      </c>
      <c r="O588">
        <v>0</v>
      </c>
      <c r="P588">
        <v>775</v>
      </c>
      <c r="Q588">
        <v>2</v>
      </c>
      <c r="R588">
        <v>775</v>
      </c>
      <c r="S588" t="s">
        <v>24</v>
      </c>
      <c r="T588" t="s">
        <v>24</v>
      </c>
      <c r="U588" t="s">
        <v>24</v>
      </c>
      <c r="V588" t="s">
        <v>25</v>
      </c>
      <c r="W588" t="s">
        <v>1821</v>
      </c>
      <c r="X588" t="s">
        <v>26</v>
      </c>
      <c r="Y588" t="s">
        <v>24</v>
      </c>
    </row>
    <row r="589" spans="1:25" x14ac:dyDescent="0.35">
      <c r="A589" s="1" t="s">
        <v>1822</v>
      </c>
      <c r="B589" s="1" t="s">
        <v>1823</v>
      </c>
      <c r="C589" s="1" t="s">
        <v>431</v>
      </c>
      <c r="D589" s="1" t="s">
        <v>432</v>
      </c>
      <c r="E589" s="2" t="s">
        <v>2467</v>
      </c>
      <c r="F589" s="2" t="s">
        <v>1975</v>
      </c>
      <c r="G589" s="6">
        <v>1500</v>
      </c>
      <c r="H589" s="8">
        <f t="shared" si="20"/>
        <v>1293.1034482758621</v>
      </c>
      <c r="I589" s="2">
        <v>16</v>
      </c>
      <c r="J589" s="2">
        <f t="shared" si="19"/>
        <v>0.70033333333333336</v>
      </c>
      <c r="K589" t="s">
        <v>1824</v>
      </c>
      <c r="L589">
        <v>2</v>
      </c>
      <c r="M589">
        <v>387.5</v>
      </c>
      <c r="N589">
        <v>387.5</v>
      </c>
      <c r="O589">
        <v>0</v>
      </c>
      <c r="P589">
        <v>775</v>
      </c>
      <c r="Q589">
        <v>2</v>
      </c>
      <c r="R589">
        <v>775</v>
      </c>
      <c r="S589" t="s">
        <v>24</v>
      </c>
      <c r="T589" t="s">
        <v>24</v>
      </c>
      <c r="U589" t="s">
        <v>24</v>
      </c>
      <c r="V589" t="s">
        <v>25</v>
      </c>
      <c r="W589" t="s">
        <v>1824</v>
      </c>
      <c r="X589" t="s">
        <v>26</v>
      </c>
      <c r="Y589" t="s">
        <v>24</v>
      </c>
    </row>
    <row r="590" spans="1:25" x14ac:dyDescent="0.35">
      <c r="A590" s="1" t="s">
        <v>1825</v>
      </c>
      <c r="B590" s="1" t="s">
        <v>1826</v>
      </c>
      <c r="C590" s="1" t="s">
        <v>392</v>
      </c>
      <c r="D590" s="1" t="s">
        <v>393</v>
      </c>
      <c r="E590" s="2" t="s">
        <v>2468</v>
      </c>
      <c r="F590" s="2" t="s">
        <v>1975</v>
      </c>
      <c r="G590" s="6">
        <v>440</v>
      </c>
      <c r="H590" s="8">
        <f t="shared" si="20"/>
        <v>379.31034482758622</v>
      </c>
      <c r="I590" s="2">
        <v>16</v>
      </c>
      <c r="J590" s="2">
        <f t="shared" si="19"/>
        <v>0.7627272727272727</v>
      </c>
      <c r="K590" t="s">
        <v>1827</v>
      </c>
      <c r="L590">
        <v>1</v>
      </c>
      <c r="M590">
        <v>90</v>
      </c>
      <c r="N590">
        <v>90</v>
      </c>
      <c r="O590">
        <v>0</v>
      </c>
      <c r="P590">
        <v>90</v>
      </c>
      <c r="Q590">
        <v>1</v>
      </c>
      <c r="R590">
        <v>90</v>
      </c>
      <c r="S590" t="s">
        <v>24</v>
      </c>
      <c r="T590" t="s">
        <v>24</v>
      </c>
      <c r="U590" t="s">
        <v>24</v>
      </c>
      <c r="V590" t="s">
        <v>25</v>
      </c>
      <c r="W590" t="s">
        <v>1827</v>
      </c>
      <c r="X590" t="s">
        <v>26</v>
      </c>
      <c r="Y590" t="s">
        <v>24</v>
      </c>
    </row>
    <row r="591" spans="1:25" x14ac:dyDescent="0.35">
      <c r="A591" s="1" t="s">
        <v>1828</v>
      </c>
      <c r="B591" s="1" t="s">
        <v>1829</v>
      </c>
      <c r="C591" s="1" t="s">
        <v>392</v>
      </c>
      <c r="D591" s="1" t="s">
        <v>393</v>
      </c>
      <c r="E591" s="2" t="s">
        <v>2469</v>
      </c>
      <c r="F591" s="2" t="s">
        <v>1975</v>
      </c>
      <c r="G591" s="6">
        <v>440</v>
      </c>
      <c r="H591" s="8">
        <f t="shared" si="20"/>
        <v>379.31034482758622</v>
      </c>
      <c r="I591" s="2">
        <v>16</v>
      </c>
      <c r="J591" s="2">
        <f t="shared" si="19"/>
        <v>0.74427272727272731</v>
      </c>
      <c r="K591" t="s">
        <v>1830</v>
      </c>
      <c r="L591">
        <v>2</v>
      </c>
      <c r="M591">
        <v>97</v>
      </c>
      <c r="N591">
        <v>97</v>
      </c>
      <c r="O591">
        <v>0</v>
      </c>
      <c r="P591">
        <v>194</v>
      </c>
      <c r="Q591">
        <v>2</v>
      </c>
      <c r="R591">
        <v>194</v>
      </c>
      <c r="S591" t="s">
        <v>24</v>
      </c>
      <c r="T591" t="s">
        <v>24</v>
      </c>
      <c r="U591" t="s">
        <v>24</v>
      </c>
      <c r="V591" t="s">
        <v>25</v>
      </c>
      <c r="W591" t="s">
        <v>1830</v>
      </c>
      <c r="X591" t="s">
        <v>26</v>
      </c>
      <c r="Y591" t="s">
        <v>24</v>
      </c>
    </row>
    <row r="592" spans="1:25" x14ac:dyDescent="0.35">
      <c r="A592" s="1" t="s">
        <v>1831</v>
      </c>
      <c r="B592" s="1" t="s">
        <v>1832</v>
      </c>
      <c r="C592" s="1" t="s">
        <v>392</v>
      </c>
      <c r="D592" s="1" t="s">
        <v>393</v>
      </c>
      <c r="E592" s="2" t="s">
        <v>2470</v>
      </c>
      <c r="F592" s="2" t="s">
        <v>1975</v>
      </c>
      <c r="G592" s="6">
        <v>180</v>
      </c>
      <c r="H592" s="8">
        <f t="shared" si="20"/>
        <v>155.17241379310346</v>
      </c>
      <c r="I592" s="2">
        <v>16</v>
      </c>
      <c r="J592" s="2">
        <f t="shared" si="19"/>
        <v>0.4522222222222223</v>
      </c>
      <c r="K592" t="s">
        <v>1833</v>
      </c>
      <c r="L592">
        <v>1</v>
      </c>
      <c r="M592">
        <v>85</v>
      </c>
      <c r="N592">
        <v>85</v>
      </c>
      <c r="O592">
        <v>0</v>
      </c>
      <c r="P592">
        <v>85</v>
      </c>
      <c r="Q592">
        <v>1</v>
      </c>
      <c r="R592">
        <v>85</v>
      </c>
      <c r="S592" t="s">
        <v>24</v>
      </c>
      <c r="T592" t="s">
        <v>24</v>
      </c>
      <c r="U592" t="s">
        <v>24</v>
      </c>
      <c r="V592" t="s">
        <v>25</v>
      </c>
      <c r="W592" t="s">
        <v>1833</v>
      </c>
      <c r="X592" t="s">
        <v>26</v>
      </c>
      <c r="Y592" t="s">
        <v>24</v>
      </c>
    </row>
    <row r="593" spans="1:25" x14ac:dyDescent="0.35">
      <c r="A593" s="1" t="s">
        <v>1834</v>
      </c>
      <c r="B593" s="1" t="s">
        <v>1835</v>
      </c>
      <c r="C593" s="1" t="s">
        <v>392</v>
      </c>
      <c r="D593" s="1" t="s">
        <v>393</v>
      </c>
      <c r="E593" s="2" t="s">
        <v>2471</v>
      </c>
      <c r="F593" s="2" t="s">
        <v>1975</v>
      </c>
      <c r="G593" s="6">
        <v>180</v>
      </c>
      <c r="H593" s="8">
        <f t="shared" si="20"/>
        <v>155.17241379310346</v>
      </c>
      <c r="I593" s="2">
        <v>16</v>
      </c>
      <c r="J593" s="2">
        <f t="shared" si="19"/>
        <v>0.42000000000000004</v>
      </c>
      <c r="K593" t="s">
        <v>1836</v>
      </c>
      <c r="L593">
        <v>1</v>
      </c>
      <c r="M593">
        <v>90</v>
      </c>
      <c r="N593">
        <v>90</v>
      </c>
      <c r="O593">
        <v>0</v>
      </c>
      <c r="P593">
        <v>90</v>
      </c>
      <c r="Q593">
        <v>1</v>
      </c>
      <c r="R593">
        <v>90</v>
      </c>
      <c r="S593" t="s">
        <v>24</v>
      </c>
      <c r="T593" t="s">
        <v>24</v>
      </c>
      <c r="U593" t="s">
        <v>24</v>
      </c>
      <c r="V593" t="s">
        <v>25</v>
      </c>
      <c r="W593" t="s">
        <v>1836</v>
      </c>
      <c r="X593" t="s">
        <v>26</v>
      </c>
      <c r="Y593" t="s">
        <v>24</v>
      </c>
    </row>
    <row r="594" spans="1:25" x14ac:dyDescent="0.35">
      <c r="A594" s="1" t="s">
        <v>1837</v>
      </c>
      <c r="B594" s="1" t="s">
        <v>1838</v>
      </c>
      <c r="C594" s="1" t="s">
        <v>392</v>
      </c>
      <c r="D594" s="1" t="s">
        <v>393</v>
      </c>
      <c r="E594" s="2" t="s">
        <v>2472</v>
      </c>
      <c r="F594" s="2" t="s">
        <v>1975</v>
      </c>
      <c r="G594" s="6">
        <v>180</v>
      </c>
      <c r="H594" s="8">
        <f t="shared" si="20"/>
        <v>155.17241379310346</v>
      </c>
      <c r="I594" s="2">
        <v>16</v>
      </c>
      <c r="J594" s="2">
        <f t="shared" si="19"/>
        <v>0.42000000000000004</v>
      </c>
      <c r="K594" t="s">
        <v>1839</v>
      </c>
      <c r="L594">
        <v>1</v>
      </c>
      <c r="M594">
        <v>90</v>
      </c>
      <c r="N594">
        <v>90</v>
      </c>
      <c r="O594">
        <v>0</v>
      </c>
      <c r="P594">
        <v>90</v>
      </c>
      <c r="Q594">
        <v>1</v>
      </c>
      <c r="R594">
        <v>90</v>
      </c>
      <c r="S594" t="s">
        <v>24</v>
      </c>
      <c r="T594" t="s">
        <v>24</v>
      </c>
      <c r="U594" t="s">
        <v>24</v>
      </c>
      <c r="V594" t="s">
        <v>25</v>
      </c>
      <c r="W594" t="s">
        <v>1839</v>
      </c>
      <c r="X594" t="s">
        <v>26</v>
      </c>
      <c r="Y594" t="s">
        <v>24</v>
      </c>
    </row>
    <row r="595" spans="1:25" x14ac:dyDescent="0.35">
      <c r="A595" s="1" t="s">
        <v>1840</v>
      </c>
      <c r="B595" s="1" t="s">
        <v>1841</v>
      </c>
      <c r="C595" s="1" t="s">
        <v>392</v>
      </c>
      <c r="D595" s="1" t="s">
        <v>393</v>
      </c>
      <c r="E595" s="2" t="s">
        <v>2473</v>
      </c>
      <c r="F595" s="2" t="s">
        <v>1975</v>
      </c>
      <c r="G595" s="6">
        <v>2400</v>
      </c>
      <c r="H595" s="8">
        <f t="shared" si="20"/>
        <v>2068.9655172413795</v>
      </c>
      <c r="I595" s="2">
        <v>16</v>
      </c>
      <c r="J595" s="2">
        <f t="shared" si="19"/>
        <v>0.779165</v>
      </c>
      <c r="K595" t="s">
        <v>1842</v>
      </c>
      <c r="L595">
        <v>3</v>
      </c>
      <c r="M595">
        <v>456.9</v>
      </c>
      <c r="N595">
        <v>456.9</v>
      </c>
      <c r="O595">
        <v>0</v>
      </c>
      <c r="P595">
        <v>1370.7</v>
      </c>
      <c r="Q595">
        <v>3</v>
      </c>
      <c r="R595">
        <v>1370.7</v>
      </c>
      <c r="S595" t="s">
        <v>24</v>
      </c>
      <c r="T595" t="s">
        <v>24</v>
      </c>
      <c r="U595" t="s">
        <v>24</v>
      </c>
      <c r="V595" t="s">
        <v>25</v>
      </c>
      <c r="W595" t="s">
        <v>1842</v>
      </c>
      <c r="X595" t="s">
        <v>26</v>
      </c>
      <c r="Y595" t="s">
        <v>24</v>
      </c>
    </row>
    <row r="596" spans="1:25" x14ac:dyDescent="0.35">
      <c r="A596" s="1" t="s">
        <v>1843</v>
      </c>
      <c r="B596" s="1" t="s">
        <v>1844</v>
      </c>
      <c r="C596" s="1" t="s">
        <v>392</v>
      </c>
      <c r="D596" s="1" t="s">
        <v>393</v>
      </c>
      <c r="E596" s="2" t="s">
        <v>2474</v>
      </c>
      <c r="F596" s="2" t="s">
        <v>1975</v>
      </c>
      <c r="G596" s="6">
        <v>2220</v>
      </c>
      <c r="H596" s="8">
        <f t="shared" si="20"/>
        <v>1913.793103448276</v>
      </c>
      <c r="I596" s="2">
        <v>16</v>
      </c>
      <c r="J596" s="2">
        <f t="shared" si="19"/>
        <v>0.7612594594594595</v>
      </c>
      <c r="K596" t="s">
        <v>1845</v>
      </c>
      <c r="L596">
        <v>1</v>
      </c>
      <c r="M596">
        <v>456.9</v>
      </c>
      <c r="N596">
        <v>456.9</v>
      </c>
      <c r="O596">
        <v>0</v>
      </c>
      <c r="P596">
        <v>456.9</v>
      </c>
      <c r="Q596">
        <v>1</v>
      </c>
      <c r="R596">
        <v>456.9</v>
      </c>
      <c r="S596" t="s">
        <v>24</v>
      </c>
      <c r="T596" t="s">
        <v>24</v>
      </c>
      <c r="U596" t="s">
        <v>24</v>
      </c>
      <c r="V596" t="s">
        <v>25</v>
      </c>
      <c r="W596" t="s">
        <v>1845</v>
      </c>
      <c r="X596" t="s">
        <v>26</v>
      </c>
      <c r="Y596" t="s">
        <v>24</v>
      </c>
    </row>
    <row r="597" spans="1:25" x14ac:dyDescent="0.35">
      <c r="A597" s="1" t="s">
        <v>1846</v>
      </c>
      <c r="B597" s="1" t="s">
        <v>1847</v>
      </c>
      <c r="C597" s="1" t="s">
        <v>453</v>
      </c>
      <c r="D597" s="1" t="s">
        <v>454</v>
      </c>
      <c r="E597" s="2" t="s">
        <v>2475</v>
      </c>
      <c r="F597" s="2" t="s">
        <v>1911</v>
      </c>
      <c r="G597" s="6">
        <v>1980</v>
      </c>
      <c r="H597" s="8">
        <f t="shared" si="20"/>
        <v>1706.8965517241381</v>
      </c>
      <c r="I597" s="2">
        <v>16</v>
      </c>
      <c r="J597" s="2">
        <f t="shared" si="19"/>
        <v>0.73694949494949502</v>
      </c>
      <c r="K597" t="s">
        <v>1848</v>
      </c>
      <c r="L597">
        <v>2</v>
      </c>
      <c r="M597">
        <v>449</v>
      </c>
      <c r="N597">
        <v>449</v>
      </c>
      <c r="O597">
        <v>0</v>
      </c>
      <c r="P597">
        <v>898</v>
      </c>
      <c r="Q597">
        <v>2</v>
      </c>
      <c r="R597">
        <v>898</v>
      </c>
      <c r="S597" t="s">
        <v>24</v>
      </c>
      <c r="T597" t="s">
        <v>24</v>
      </c>
      <c r="U597" t="s">
        <v>24</v>
      </c>
      <c r="V597" t="s">
        <v>25</v>
      </c>
      <c r="W597" t="s">
        <v>1848</v>
      </c>
      <c r="X597" t="s">
        <v>26</v>
      </c>
      <c r="Y597" t="s">
        <v>24</v>
      </c>
    </row>
    <row r="598" spans="1:25" x14ac:dyDescent="0.35">
      <c r="A598" s="1" t="s">
        <v>1849</v>
      </c>
      <c r="B598" s="1" t="s">
        <v>1850</v>
      </c>
      <c r="C598" s="1" t="s">
        <v>392</v>
      </c>
      <c r="D598" s="1" t="s">
        <v>393</v>
      </c>
      <c r="E598" s="2" t="s">
        <v>2476</v>
      </c>
      <c r="F598" s="2" t="s">
        <v>1911</v>
      </c>
      <c r="G598" s="6">
        <v>7320</v>
      </c>
      <c r="H598" s="8">
        <f t="shared" si="20"/>
        <v>6310.3448275862074</v>
      </c>
      <c r="I598" s="2">
        <v>16</v>
      </c>
      <c r="J598" s="2">
        <f t="shared" si="19"/>
        <v>0.69984049180327879</v>
      </c>
      <c r="K598" t="s">
        <v>1851</v>
      </c>
      <c r="L598">
        <v>4</v>
      </c>
      <c r="M598">
        <v>1894.11</v>
      </c>
      <c r="N598">
        <v>1894.11</v>
      </c>
      <c r="O598">
        <v>0</v>
      </c>
      <c r="P598">
        <v>7576.44</v>
      </c>
      <c r="Q598">
        <v>4</v>
      </c>
      <c r="R598">
        <v>7576.44</v>
      </c>
      <c r="S598" t="s">
        <v>24</v>
      </c>
      <c r="T598" t="s">
        <v>24</v>
      </c>
      <c r="U598" t="s">
        <v>24</v>
      </c>
      <c r="V598" t="s">
        <v>25</v>
      </c>
      <c r="W598" t="s">
        <v>1851</v>
      </c>
      <c r="X598" t="s">
        <v>26</v>
      </c>
      <c r="Y598" t="s">
        <v>24</v>
      </c>
    </row>
    <row r="599" spans="1:25" x14ac:dyDescent="0.35">
      <c r="A599" s="1" t="s">
        <v>1427</v>
      </c>
      <c r="B599" s="1" t="s">
        <v>1428</v>
      </c>
      <c r="C599" s="1" t="s">
        <v>392</v>
      </c>
      <c r="D599" s="1" t="s">
        <v>393</v>
      </c>
      <c r="E599" s="2" t="s">
        <v>2340</v>
      </c>
      <c r="F599" s="2" t="s">
        <v>1911</v>
      </c>
      <c r="G599" s="6">
        <v>13940</v>
      </c>
      <c r="H599" s="8">
        <f t="shared" si="20"/>
        <v>12017.241379310346</v>
      </c>
      <c r="I599" s="2">
        <v>16</v>
      </c>
      <c r="J599" s="2">
        <f t="shared" si="19"/>
        <v>0.69987538020086082</v>
      </c>
      <c r="K599" t="s">
        <v>1852</v>
      </c>
      <c r="L599">
        <v>6</v>
      </c>
      <c r="M599">
        <v>3606.67</v>
      </c>
      <c r="N599">
        <v>3606.67</v>
      </c>
      <c r="O599">
        <v>0</v>
      </c>
      <c r="P599">
        <v>21640.02</v>
      </c>
      <c r="Q599">
        <v>6</v>
      </c>
      <c r="R599">
        <v>21640.02</v>
      </c>
      <c r="S599" t="s">
        <v>24</v>
      </c>
      <c r="T599" t="s">
        <v>24</v>
      </c>
      <c r="U599" t="s">
        <v>24</v>
      </c>
      <c r="V599" t="s">
        <v>25</v>
      </c>
      <c r="W599" t="s">
        <v>1852</v>
      </c>
      <c r="X599" t="s">
        <v>26</v>
      </c>
      <c r="Y599" t="s">
        <v>24</v>
      </c>
    </row>
    <row r="600" spans="1:25" x14ac:dyDescent="0.35">
      <c r="A600" s="1" t="s">
        <v>1430</v>
      </c>
      <c r="B600" s="1" t="s">
        <v>1431</v>
      </c>
      <c r="C600" s="1" t="s">
        <v>392</v>
      </c>
      <c r="D600" s="1" t="s">
        <v>393</v>
      </c>
      <c r="E600" s="2" t="s">
        <v>2341</v>
      </c>
      <c r="F600" s="2" t="s">
        <v>1911</v>
      </c>
      <c r="G600" s="6">
        <v>7040</v>
      </c>
      <c r="H600" s="8">
        <f t="shared" si="20"/>
        <v>6068.9655172413795</v>
      </c>
      <c r="I600" s="2">
        <v>16</v>
      </c>
      <c r="J600" s="2">
        <f t="shared" si="19"/>
        <v>0.70018119318181826</v>
      </c>
      <c r="K600" t="s">
        <v>1853</v>
      </c>
      <c r="L600">
        <v>1</v>
      </c>
      <c r="M600">
        <v>1819.59</v>
      </c>
      <c r="N600">
        <v>1819.59</v>
      </c>
      <c r="O600">
        <v>0</v>
      </c>
      <c r="P600">
        <v>1819.59</v>
      </c>
      <c r="Q600">
        <v>1</v>
      </c>
      <c r="R600">
        <v>1819.59</v>
      </c>
      <c r="S600" t="s">
        <v>24</v>
      </c>
      <c r="T600" t="s">
        <v>24</v>
      </c>
      <c r="U600" t="s">
        <v>24</v>
      </c>
      <c r="V600" t="s">
        <v>25</v>
      </c>
      <c r="W600" t="s">
        <v>1853</v>
      </c>
      <c r="X600" t="s">
        <v>26</v>
      </c>
      <c r="Y600" t="s">
        <v>24</v>
      </c>
    </row>
    <row r="601" spans="1:25" x14ac:dyDescent="0.35">
      <c r="A601" s="1" t="s">
        <v>1433</v>
      </c>
      <c r="B601" s="1" t="s">
        <v>1434</v>
      </c>
      <c r="C601" s="1" t="s">
        <v>392</v>
      </c>
      <c r="D601" s="1" t="s">
        <v>393</v>
      </c>
      <c r="E601" s="2" t="s">
        <v>2342</v>
      </c>
      <c r="F601" s="2" t="s">
        <v>1911</v>
      </c>
      <c r="G601" s="6">
        <v>7000</v>
      </c>
      <c r="H601" s="8">
        <f t="shared" si="20"/>
        <v>6034.4827586206902</v>
      </c>
      <c r="I601" s="2">
        <v>16</v>
      </c>
      <c r="J601" s="2">
        <f t="shared" si="19"/>
        <v>0.70008862857142862</v>
      </c>
      <c r="K601" t="s">
        <v>1854</v>
      </c>
      <c r="L601">
        <v>1</v>
      </c>
      <c r="M601">
        <v>1809.81</v>
      </c>
      <c r="N601">
        <v>1809.81</v>
      </c>
      <c r="O601">
        <v>0</v>
      </c>
      <c r="P601">
        <v>1809.81</v>
      </c>
      <c r="Q601">
        <v>1</v>
      </c>
      <c r="R601">
        <v>1809.81</v>
      </c>
      <c r="S601" t="s">
        <v>24</v>
      </c>
      <c r="T601" t="s">
        <v>24</v>
      </c>
      <c r="U601" t="s">
        <v>24</v>
      </c>
      <c r="V601" t="s">
        <v>25</v>
      </c>
      <c r="W601" t="s">
        <v>1854</v>
      </c>
      <c r="X601" t="s">
        <v>26</v>
      </c>
      <c r="Y601" t="s">
        <v>24</v>
      </c>
    </row>
    <row r="602" spans="1:25" x14ac:dyDescent="0.35">
      <c r="A602" s="1" t="s">
        <v>1206</v>
      </c>
      <c r="B602" s="1" t="s">
        <v>1207</v>
      </c>
      <c r="C602" s="1" t="s">
        <v>1273</v>
      </c>
      <c r="D602" s="1" t="s">
        <v>1274</v>
      </c>
      <c r="E602" s="2" t="s">
        <v>2271</v>
      </c>
      <c r="F602" s="2" t="s">
        <v>1911</v>
      </c>
      <c r="G602" s="6">
        <v>13080</v>
      </c>
      <c r="H602" s="8">
        <f t="shared" si="20"/>
        <v>11275.862068965518</v>
      </c>
      <c r="I602" s="2">
        <v>16</v>
      </c>
      <c r="J602" s="2">
        <f t="shared" si="19"/>
        <v>0.7001329051987768</v>
      </c>
      <c r="K602" t="s">
        <v>1855</v>
      </c>
      <c r="L602">
        <v>1</v>
      </c>
      <c r="M602">
        <v>3381.26</v>
      </c>
      <c r="N602">
        <v>3381.26</v>
      </c>
      <c r="O602">
        <v>0</v>
      </c>
      <c r="P602">
        <v>3381.26</v>
      </c>
      <c r="Q602">
        <v>1</v>
      </c>
      <c r="R602">
        <v>3381.26</v>
      </c>
      <c r="S602" t="s">
        <v>24</v>
      </c>
      <c r="T602" t="s">
        <v>24</v>
      </c>
      <c r="U602" t="s">
        <v>24</v>
      </c>
      <c r="V602" t="s">
        <v>25</v>
      </c>
      <c r="W602" t="s">
        <v>1855</v>
      </c>
      <c r="X602" t="s">
        <v>26</v>
      </c>
      <c r="Y602" t="s">
        <v>24</v>
      </c>
    </row>
    <row r="603" spans="1:25" x14ac:dyDescent="0.35">
      <c r="A603" s="1" t="s">
        <v>1209</v>
      </c>
      <c r="B603" s="1" t="s">
        <v>1210</v>
      </c>
      <c r="C603" s="1" t="s">
        <v>1273</v>
      </c>
      <c r="D603" s="1" t="s">
        <v>1274</v>
      </c>
      <c r="E603" s="2" t="s">
        <v>2272</v>
      </c>
      <c r="F603" s="2" t="s">
        <v>1911</v>
      </c>
      <c r="G603" s="6">
        <v>7200</v>
      </c>
      <c r="H603" s="8">
        <f t="shared" si="20"/>
        <v>6206.8965517241386</v>
      </c>
      <c r="I603" s="2">
        <v>16</v>
      </c>
      <c r="J603" s="2">
        <f t="shared" si="19"/>
        <v>0.69965505555555563</v>
      </c>
      <c r="K603" t="s">
        <v>1856</v>
      </c>
      <c r="L603">
        <v>1</v>
      </c>
      <c r="M603">
        <v>1864.21</v>
      </c>
      <c r="N603">
        <v>1864.21</v>
      </c>
      <c r="O603">
        <v>0</v>
      </c>
      <c r="P603">
        <v>1864.21</v>
      </c>
      <c r="Q603">
        <v>1</v>
      </c>
      <c r="R603">
        <v>1864.21</v>
      </c>
      <c r="S603" t="s">
        <v>24</v>
      </c>
      <c r="T603" t="s">
        <v>24</v>
      </c>
      <c r="U603" t="s">
        <v>24</v>
      </c>
      <c r="V603" t="s">
        <v>25</v>
      </c>
      <c r="W603" t="s">
        <v>1856</v>
      </c>
      <c r="X603" t="s">
        <v>26</v>
      </c>
      <c r="Y603" t="s">
        <v>24</v>
      </c>
    </row>
    <row r="604" spans="1:25" x14ac:dyDescent="0.35">
      <c r="A604" s="1" t="s">
        <v>1857</v>
      </c>
      <c r="B604" s="1" t="s">
        <v>1858</v>
      </c>
      <c r="C604" s="1" t="s">
        <v>265</v>
      </c>
      <c r="D604" s="1" t="s">
        <v>266</v>
      </c>
      <c r="E604" s="2" t="s">
        <v>2477</v>
      </c>
      <c r="F604" s="2" t="s">
        <v>1975</v>
      </c>
      <c r="G604" s="6">
        <v>580</v>
      </c>
      <c r="H604" s="8">
        <f t="shared" si="20"/>
        <v>500.00000000000006</v>
      </c>
      <c r="I604" s="2">
        <v>16</v>
      </c>
      <c r="J604" s="2">
        <f t="shared" si="19"/>
        <v>0.7</v>
      </c>
      <c r="K604" t="s">
        <v>1859</v>
      </c>
      <c r="L604">
        <v>1</v>
      </c>
      <c r="M604">
        <v>150</v>
      </c>
      <c r="N604">
        <v>150</v>
      </c>
      <c r="O604">
        <v>0</v>
      </c>
      <c r="P604">
        <v>150</v>
      </c>
      <c r="Q604">
        <v>1</v>
      </c>
      <c r="R604">
        <v>150</v>
      </c>
      <c r="S604" t="s">
        <v>24</v>
      </c>
      <c r="T604" t="s">
        <v>24</v>
      </c>
      <c r="U604" t="s">
        <v>24</v>
      </c>
      <c r="V604" t="s">
        <v>25</v>
      </c>
      <c r="W604" t="s">
        <v>1859</v>
      </c>
      <c r="X604" t="s">
        <v>26</v>
      </c>
      <c r="Y604" t="s">
        <v>24</v>
      </c>
    </row>
    <row r="605" spans="1:25" x14ac:dyDescent="0.35">
      <c r="A605" s="1" t="s">
        <v>1860</v>
      </c>
      <c r="B605" s="1" t="s">
        <v>1861</v>
      </c>
      <c r="C605" s="1" t="s">
        <v>265</v>
      </c>
      <c r="D605" s="1" t="s">
        <v>266</v>
      </c>
      <c r="E605" s="2" t="s">
        <v>2478</v>
      </c>
      <c r="F605" s="2" t="s">
        <v>1975</v>
      </c>
      <c r="G605" s="6">
        <v>580</v>
      </c>
      <c r="H605" s="8">
        <f t="shared" si="20"/>
        <v>500.00000000000006</v>
      </c>
      <c r="I605" s="2">
        <v>16</v>
      </c>
      <c r="J605" s="2">
        <f t="shared" si="19"/>
        <v>0.7</v>
      </c>
      <c r="K605" t="s">
        <v>1862</v>
      </c>
      <c r="L605">
        <v>2</v>
      </c>
      <c r="M605">
        <v>150</v>
      </c>
      <c r="N605">
        <v>150</v>
      </c>
      <c r="O605">
        <v>0</v>
      </c>
      <c r="P605">
        <v>300</v>
      </c>
      <c r="Q605">
        <v>2</v>
      </c>
      <c r="R605">
        <v>300</v>
      </c>
      <c r="S605" t="s">
        <v>24</v>
      </c>
      <c r="T605" t="s">
        <v>24</v>
      </c>
      <c r="U605" t="s">
        <v>24</v>
      </c>
      <c r="V605" t="s">
        <v>25</v>
      </c>
      <c r="W605" t="s">
        <v>1862</v>
      </c>
      <c r="X605" t="s">
        <v>26</v>
      </c>
      <c r="Y605" t="s">
        <v>24</v>
      </c>
    </row>
    <row r="606" spans="1:25" x14ac:dyDescent="0.35">
      <c r="A606" s="1" t="s">
        <v>1863</v>
      </c>
      <c r="B606" s="1" t="s">
        <v>1864</v>
      </c>
      <c r="C606" s="1" t="s">
        <v>696</v>
      </c>
      <c r="D606" s="1" t="s">
        <v>697</v>
      </c>
      <c r="E606" s="2" t="s">
        <v>2479</v>
      </c>
      <c r="F606" s="2" t="s">
        <v>2082</v>
      </c>
      <c r="G606" s="6">
        <v>60</v>
      </c>
      <c r="H606" s="8">
        <f t="shared" si="20"/>
        <v>51.724137931034484</v>
      </c>
      <c r="I606" s="2">
        <v>16</v>
      </c>
      <c r="J606" s="2">
        <f t="shared" si="19"/>
        <v>0.72411333333333339</v>
      </c>
      <c r="K606" t="s">
        <v>1865</v>
      </c>
      <c r="L606">
        <v>9</v>
      </c>
      <c r="M606">
        <v>14.27</v>
      </c>
      <c r="N606">
        <v>14.27</v>
      </c>
      <c r="O606">
        <v>0</v>
      </c>
      <c r="P606">
        <v>114.16</v>
      </c>
      <c r="Q606">
        <v>8</v>
      </c>
      <c r="R606">
        <v>114.16</v>
      </c>
      <c r="S606" t="s">
        <v>24</v>
      </c>
      <c r="T606" t="s">
        <v>24</v>
      </c>
      <c r="U606" t="s">
        <v>24</v>
      </c>
      <c r="V606" t="s">
        <v>25</v>
      </c>
      <c r="W606" t="s">
        <v>1865</v>
      </c>
      <c r="X606" t="s">
        <v>26</v>
      </c>
      <c r="Y606" t="s">
        <v>24</v>
      </c>
    </row>
    <row r="607" spans="1:25" x14ac:dyDescent="0.35">
      <c r="A607" s="1" t="s">
        <v>1866</v>
      </c>
      <c r="B607" s="1" t="s">
        <v>1867</v>
      </c>
      <c r="C607" s="1" t="s">
        <v>295</v>
      </c>
      <c r="D607" s="1" t="s">
        <v>296</v>
      </c>
      <c r="E607" s="2" t="s">
        <v>2480</v>
      </c>
      <c r="F607" s="2" t="s">
        <v>1913</v>
      </c>
      <c r="G607" s="6">
        <v>500</v>
      </c>
      <c r="H607" s="8">
        <f t="shared" si="20"/>
        <v>431.0344827586207</v>
      </c>
      <c r="I607" s="2">
        <v>16</v>
      </c>
      <c r="J607" s="2">
        <f t="shared" si="19"/>
        <v>0.83852800000000005</v>
      </c>
      <c r="K607" t="s">
        <v>1868</v>
      </c>
      <c r="L607">
        <v>6</v>
      </c>
      <c r="M607">
        <v>69.599999999999994</v>
      </c>
      <c r="N607">
        <v>69.599999999999994</v>
      </c>
      <c r="O607">
        <v>0</v>
      </c>
      <c r="P607">
        <v>417.6</v>
      </c>
      <c r="Q607">
        <v>6</v>
      </c>
      <c r="R607">
        <v>417.6</v>
      </c>
      <c r="S607" t="s">
        <v>24</v>
      </c>
      <c r="T607" t="s">
        <v>24</v>
      </c>
      <c r="U607" t="s">
        <v>24</v>
      </c>
      <c r="V607" t="s">
        <v>25</v>
      </c>
      <c r="W607" t="s">
        <v>1868</v>
      </c>
      <c r="X607" t="s">
        <v>26</v>
      </c>
      <c r="Y607" t="s">
        <v>24</v>
      </c>
    </row>
    <row r="608" spans="1:25" x14ac:dyDescent="0.35">
      <c r="A608" s="1" t="s">
        <v>1869</v>
      </c>
      <c r="B608" s="1" t="s">
        <v>1870</v>
      </c>
      <c r="C608" s="1" t="s">
        <v>295</v>
      </c>
      <c r="D608" s="1" t="s">
        <v>296</v>
      </c>
      <c r="E608" s="2" t="s">
        <v>2481</v>
      </c>
      <c r="F608" s="2" t="s">
        <v>1913</v>
      </c>
      <c r="G608" s="6">
        <v>440</v>
      </c>
      <c r="H608" s="8">
        <f t="shared" si="20"/>
        <v>379.31034482758622</v>
      </c>
      <c r="I608" s="2">
        <v>16</v>
      </c>
      <c r="J608" s="2">
        <f t="shared" si="19"/>
        <v>0.81650909090909096</v>
      </c>
      <c r="K608" t="s">
        <v>1871</v>
      </c>
      <c r="L608">
        <v>4</v>
      </c>
      <c r="M608">
        <v>69.599999999999994</v>
      </c>
      <c r="N608">
        <v>69.599999999999994</v>
      </c>
      <c r="O608">
        <v>0</v>
      </c>
      <c r="P608">
        <v>278.39999999999998</v>
      </c>
      <c r="Q608">
        <v>4</v>
      </c>
      <c r="R608">
        <v>278.39999999999998</v>
      </c>
      <c r="S608" t="s">
        <v>24</v>
      </c>
      <c r="T608" t="s">
        <v>24</v>
      </c>
      <c r="U608" t="s">
        <v>24</v>
      </c>
      <c r="V608" t="s">
        <v>25</v>
      </c>
      <c r="W608" t="s">
        <v>1871</v>
      </c>
      <c r="X608" t="s">
        <v>26</v>
      </c>
      <c r="Y608" t="s">
        <v>24</v>
      </c>
    </row>
    <row r="609" spans="1:25" x14ac:dyDescent="0.35">
      <c r="A609" s="1" t="s">
        <v>1872</v>
      </c>
      <c r="B609" s="1" t="s">
        <v>1873</v>
      </c>
      <c r="C609" s="1" t="s">
        <v>295</v>
      </c>
      <c r="D609" s="1" t="s">
        <v>296</v>
      </c>
      <c r="E609" s="2" t="s">
        <v>2482</v>
      </c>
      <c r="F609" s="2" t="s">
        <v>1913</v>
      </c>
      <c r="G609" s="6">
        <v>500</v>
      </c>
      <c r="H609" s="8">
        <f t="shared" si="20"/>
        <v>431.0344827586207</v>
      </c>
      <c r="I609" s="2">
        <v>16</v>
      </c>
      <c r="J609" s="2">
        <f t="shared" si="19"/>
        <v>0.83852800000000005</v>
      </c>
      <c r="K609" t="s">
        <v>1874</v>
      </c>
      <c r="L609">
        <v>5</v>
      </c>
      <c r="M609">
        <v>69.599999999999994</v>
      </c>
      <c r="N609">
        <v>69.599999999999994</v>
      </c>
      <c r="O609">
        <v>0</v>
      </c>
      <c r="P609">
        <v>348</v>
      </c>
      <c r="Q609">
        <v>5</v>
      </c>
      <c r="R609">
        <v>348</v>
      </c>
      <c r="S609" t="s">
        <v>24</v>
      </c>
      <c r="T609" t="s">
        <v>24</v>
      </c>
      <c r="U609" t="s">
        <v>24</v>
      </c>
      <c r="V609" t="s">
        <v>25</v>
      </c>
      <c r="W609" t="s">
        <v>1874</v>
      </c>
      <c r="X609" t="s">
        <v>26</v>
      </c>
      <c r="Y609" t="s">
        <v>24</v>
      </c>
    </row>
    <row r="610" spans="1:25" x14ac:dyDescent="0.35">
      <c r="A610" s="1" t="s">
        <v>1875</v>
      </c>
      <c r="B610" s="1" t="s">
        <v>1876</v>
      </c>
      <c r="C610" s="1" t="s">
        <v>29</v>
      </c>
      <c r="D610" s="1" t="s">
        <v>30</v>
      </c>
      <c r="E610" s="2" t="s">
        <v>2483</v>
      </c>
      <c r="F610" s="2" t="s">
        <v>1913</v>
      </c>
      <c r="G610" s="6">
        <v>500</v>
      </c>
      <c r="H610" s="8">
        <f t="shared" si="20"/>
        <v>431.0344827586207</v>
      </c>
      <c r="I610" s="2">
        <v>16</v>
      </c>
      <c r="J610" s="2">
        <f t="shared" si="19"/>
        <v>0.86083990399999999</v>
      </c>
      <c r="K610" t="s">
        <v>1877</v>
      </c>
      <c r="L610">
        <v>1</v>
      </c>
      <c r="M610">
        <v>59.982799999999997</v>
      </c>
      <c r="N610">
        <v>59.982799999999997</v>
      </c>
      <c r="O610">
        <v>0</v>
      </c>
      <c r="P610">
        <v>59.982799999999997</v>
      </c>
      <c r="Q610">
        <v>1</v>
      </c>
      <c r="R610">
        <v>59.98</v>
      </c>
      <c r="S610" t="s">
        <v>24</v>
      </c>
      <c r="T610" t="s">
        <v>24</v>
      </c>
      <c r="U610" t="s">
        <v>24</v>
      </c>
      <c r="V610" t="s">
        <v>25</v>
      </c>
      <c r="W610" t="s">
        <v>1877</v>
      </c>
      <c r="X610" t="s">
        <v>26</v>
      </c>
      <c r="Y610" t="s">
        <v>24</v>
      </c>
    </row>
    <row r="611" spans="1:25" x14ac:dyDescent="0.35">
      <c r="A611" s="1" t="s">
        <v>1558</v>
      </c>
      <c r="B611" s="1" t="s">
        <v>1559</v>
      </c>
      <c r="C611" s="1" t="s">
        <v>844</v>
      </c>
      <c r="D611" s="1" t="s">
        <v>845</v>
      </c>
      <c r="E611" s="2" t="s">
        <v>2382</v>
      </c>
      <c r="F611" s="2" t="s">
        <v>2082</v>
      </c>
      <c r="G611" s="6">
        <v>160</v>
      </c>
      <c r="H611" s="8">
        <f t="shared" si="20"/>
        <v>148.14814814814815</v>
      </c>
      <c r="I611" s="2">
        <v>8</v>
      </c>
      <c r="J611" s="2">
        <f t="shared" si="19"/>
        <v>0.70502500000000001</v>
      </c>
      <c r="K611" t="s">
        <v>1878</v>
      </c>
      <c r="L611">
        <v>4</v>
      </c>
      <c r="M611">
        <v>43.7</v>
      </c>
      <c r="N611">
        <v>43.7</v>
      </c>
      <c r="O611">
        <v>0</v>
      </c>
      <c r="P611">
        <v>174.8</v>
      </c>
      <c r="Q611">
        <v>4</v>
      </c>
      <c r="R611">
        <v>174.8</v>
      </c>
      <c r="S611" t="s">
        <v>24</v>
      </c>
      <c r="T611" t="s">
        <v>24</v>
      </c>
      <c r="U611" t="s">
        <v>24</v>
      </c>
      <c r="V611" t="s">
        <v>25</v>
      </c>
      <c r="W611" t="s">
        <v>1878</v>
      </c>
      <c r="X611" t="s">
        <v>26</v>
      </c>
      <c r="Y611" t="s">
        <v>24</v>
      </c>
    </row>
    <row r="612" spans="1:25" x14ac:dyDescent="0.35">
      <c r="A612" s="1" t="s">
        <v>1879</v>
      </c>
      <c r="B612" s="1" t="s">
        <v>1880</v>
      </c>
      <c r="C612" s="1" t="s">
        <v>467</v>
      </c>
      <c r="D612" s="1" t="s">
        <v>468</v>
      </c>
      <c r="E612" s="2" t="s">
        <v>2484</v>
      </c>
      <c r="F612" s="2" t="s">
        <v>1975</v>
      </c>
      <c r="G612" s="6">
        <v>2160</v>
      </c>
      <c r="H612" s="8">
        <f t="shared" si="20"/>
        <v>1862.0689655172414</v>
      </c>
      <c r="I612" s="2">
        <v>16</v>
      </c>
      <c r="J612" s="2">
        <f t="shared" si="19"/>
        <v>0.70138592592592597</v>
      </c>
      <c r="K612" t="s">
        <v>1881</v>
      </c>
      <c r="L612">
        <v>1</v>
      </c>
      <c r="M612">
        <v>556.04</v>
      </c>
      <c r="N612">
        <v>556.04</v>
      </c>
      <c r="O612">
        <v>0</v>
      </c>
      <c r="P612">
        <v>556.04</v>
      </c>
      <c r="Q612">
        <v>1</v>
      </c>
      <c r="R612">
        <v>556.04</v>
      </c>
      <c r="S612" t="s">
        <v>24</v>
      </c>
      <c r="T612" t="s">
        <v>24</v>
      </c>
      <c r="U612" t="s">
        <v>24</v>
      </c>
      <c r="V612" t="s">
        <v>25</v>
      </c>
      <c r="W612" t="s">
        <v>1881</v>
      </c>
      <c r="X612" t="s">
        <v>26</v>
      </c>
      <c r="Y612" t="s">
        <v>24</v>
      </c>
    </row>
    <row r="613" spans="1:25" x14ac:dyDescent="0.35">
      <c r="A613" s="1" t="s">
        <v>1882</v>
      </c>
      <c r="B613" s="1" t="s">
        <v>1883</v>
      </c>
      <c r="C613" s="1" t="s">
        <v>467</v>
      </c>
      <c r="D613" s="1" t="s">
        <v>468</v>
      </c>
      <c r="E613" s="2" t="s">
        <v>2485</v>
      </c>
      <c r="F613" s="2" t="s">
        <v>1911</v>
      </c>
      <c r="G613" s="6">
        <v>7740</v>
      </c>
      <c r="H613" s="8">
        <f t="shared" si="20"/>
        <v>6672.4137931034484</v>
      </c>
      <c r="I613" s="2">
        <v>16</v>
      </c>
      <c r="J613" s="2">
        <f t="shared" si="19"/>
        <v>0.70025839793281652</v>
      </c>
      <c r="K613" t="s">
        <v>1884</v>
      </c>
      <c r="L613">
        <v>2</v>
      </c>
      <c r="M613">
        <v>2000</v>
      </c>
      <c r="N613">
        <v>2000</v>
      </c>
      <c r="O613">
        <v>0</v>
      </c>
      <c r="P613">
        <v>4000</v>
      </c>
      <c r="Q613">
        <v>2</v>
      </c>
      <c r="R613">
        <v>4000</v>
      </c>
      <c r="S613" t="s">
        <v>24</v>
      </c>
      <c r="T613" t="s">
        <v>24</v>
      </c>
      <c r="U613" t="s">
        <v>24</v>
      </c>
      <c r="V613" t="s">
        <v>25</v>
      </c>
      <c r="W613" t="s">
        <v>1884</v>
      </c>
      <c r="X613" t="s">
        <v>26</v>
      </c>
      <c r="Y613" t="s">
        <v>24</v>
      </c>
    </row>
    <row r="614" spans="1:25" x14ac:dyDescent="0.35">
      <c r="A614" s="1" t="s">
        <v>1885</v>
      </c>
      <c r="B614" s="1" t="s">
        <v>1886</v>
      </c>
      <c r="C614" s="1" t="s">
        <v>467</v>
      </c>
      <c r="D614" s="1" t="s">
        <v>468</v>
      </c>
      <c r="E614" s="2" t="s">
        <v>2486</v>
      </c>
      <c r="F614" s="2" t="s">
        <v>1911</v>
      </c>
      <c r="G614" s="6">
        <v>5020</v>
      </c>
      <c r="H614" s="8">
        <f t="shared" si="20"/>
        <v>4327.5862068965516</v>
      </c>
      <c r="I614" s="2">
        <v>16</v>
      </c>
      <c r="J614" s="2">
        <f t="shared" si="19"/>
        <v>0.70019776892430274</v>
      </c>
      <c r="K614" t="s">
        <v>1887</v>
      </c>
      <c r="L614">
        <v>1</v>
      </c>
      <c r="M614">
        <v>1297.42</v>
      </c>
      <c r="N614">
        <v>1297.42</v>
      </c>
      <c r="O614">
        <v>0</v>
      </c>
      <c r="P614">
        <v>1297.42</v>
      </c>
      <c r="Q614">
        <v>1</v>
      </c>
      <c r="R614">
        <v>1297.42</v>
      </c>
      <c r="S614" t="s">
        <v>24</v>
      </c>
      <c r="T614" t="s">
        <v>24</v>
      </c>
      <c r="U614" t="s">
        <v>24</v>
      </c>
      <c r="V614" t="s">
        <v>25</v>
      </c>
      <c r="W614" t="s">
        <v>1887</v>
      </c>
      <c r="X614" t="s">
        <v>26</v>
      </c>
      <c r="Y614" t="s">
        <v>24</v>
      </c>
    </row>
    <row r="615" spans="1:25" x14ac:dyDescent="0.35">
      <c r="A615" s="1" t="s">
        <v>1888</v>
      </c>
      <c r="B615" s="1" t="s">
        <v>1889</v>
      </c>
      <c r="C615" s="1" t="s">
        <v>467</v>
      </c>
      <c r="D615" s="1" t="s">
        <v>468</v>
      </c>
      <c r="E615" s="2" t="s">
        <v>2487</v>
      </c>
      <c r="F615" s="2" t="s">
        <v>1911</v>
      </c>
      <c r="G615" s="6">
        <v>4820</v>
      </c>
      <c r="H615" s="8">
        <f t="shared" si="20"/>
        <v>4155.1724137931042</v>
      </c>
      <c r="I615" s="2">
        <v>16</v>
      </c>
      <c r="J615" s="2">
        <f t="shared" si="19"/>
        <v>0.70020738589211629</v>
      </c>
      <c r="K615" t="s">
        <v>1890</v>
      </c>
      <c r="L615">
        <v>1</v>
      </c>
      <c r="M615">
        <v>1245.69</v>
      </c>
      <c r="N615">
        <v>1245.69</v>
      </c>
      <c r="O615">
        <v>0</v>
      </c>
      <c r="P615">
        <v>1245.69</v>
      </c>
      <c r="Q615">
        <v>1</v>
      </c>
      <c r="R615">
        <v>1245.69</v>
      </c>
      <c r="S615" t="s">
        <v>24</v>
      </c>
      <c r="T615" t="s">
        <v>24</v>
      </c>
      <c r="U615" t="s">
        <v>24</v>
      </c>
      <c r="V615" t="s">
        <v>25</v>
      </c>
      <c r="W615" t="s">
        <v>1890</v>
      </c>
      <c r="X615" t="s">
        <v>26</v>
      </c>
      <c r="Y615" t="s">
        <v>24</v>
      </c>
    </row>
    <row r="616" spans="1:25" x14ac:dyDescent="0.35">
      <c r="A616" s="1" t="s">
        <v>1891</v>
      </c>
      <c r="B616" s="1" t="s">
        <v>1892</v>
      </c>
      <c r="C616" s="1" t="s">
        <v>467</v>
      </c>
      <c r="D616" s="1" t="s">
        <v>468</v>
      </c>
      <c r="E616" s="2" t="s">
        <v>2488</v>
      </c>
      <c r="F616" s="2" t="s">
        <v>1975</v>
      </c>
      <c r="G616" s="6">
        <v>4980</v>
      </c>
      <c r="H616" s="8">
        <f t="shared" si="20"/>
        <v>4293.1034482758623</v>
      </c>
      <c r="I616" s="2">
        <v>16</v>
      </c>
      <c r="J616" s="2">
        <f t="shared" si="19"/>
        <v>0.69979759036144573</v>
      </c>
      <c r="K616" t="s">
        <v>1893</v>
      </c>
      <c r="L616">
        <v>1</v>
      </c>
      <c r="M616">
        <v>1288.8</v>
      </c>
      <c r="N616">
        <v>1288.8</v>
      </c>
      <c r="O616">
        <v>0</v>
      </c>
      <c r="P616">
        <v>1288.8</v>
      </c>
      <c r="Q616">
        <v>1</v>
      </c>
      <c r="R616">
        <v>1288.8</v>
      </c>
      <c r="S616" t="s">
        <v>24</v>
      </c>
      <c r="T616" t="s">
        <v>24</v>
      </c>
      <c r="U616" t="s">
        <v>24</v>
      </c>
      <c r="V616" t="s">
        <v>25</v>
      </c>
      <c r="W616" t="s">
        <v>1893</v>
      </c>
      <c r="X616" t="s">
        <v>26</v>
      </c>
      <c r="Y616" t="s">
        <v>24</v>
      </c>
    </row>
    <row r="617" spans="1:25" x14ac:dyDescent="0.35">
      <c r="A617" s="1" t="s">
        <v>1894</v>
      </c>
      <c r="B617" s="1" t="s">
        <v>1895</v>
      </c>
      <c r="C617" s="1" t="s">
        <v>467</v>
      </c>
      <c r="D617" s="1" t="s">
        <v>468</v>
      </c>
      <c r="E617" s="2" t="s">
        <v>2489</v>
      </c>
      <c r="F617" s="2" t="s">
        <v>1911</v>
      </c>
      <c r="G617" s="6">
        <v>7300</v>
      </c>
      <c r="H617" s="8">
        <f t="shared" si="20"/>
        <v>6293.1034482758623</v>
      </c>
      <c r="I617" s="2">
        <v>16</v>
      </c>
      <c r="J617" s="2">
        <f t="shared" si="19"/>
        <v>0.70006849315068487</v>
      </c>
      <c r="K617" t="s">
        <v>1896</v>
      </c>
      <c r="L617">
        <v>1</v>
      </c>
      <c r="M617">
        <v>1887.5</v>
      </c>
      <c r="N617">
        <v>1887.5</v>
      </c>
      <c r="O617">
        <v>0</v>
      </c>
      <c r="P617">
        <v>1887.5</v>
      </c>
      <c r="Q617">
        <v>1</v>
      </c>
      <c r="R617">
        <v>1887.5</v>
      </c>
      <c r="S617" t="s">
        <v>24</v>
      </c>
      <c r="T617" t="s">
        <v>24</v>
      </c>
      <c r="U617" t="s">
        <v>24</v>
      </c>
      <c r="V617" t="s">
        <v>25</v>
      </c>
      <c r="W617" t="s">
        <v>1896</v>
      </c>
      <c r="X617" t="s">
        <v>26</v>
      </c>
      <c r="Y617" t="s">
        <v>24</v>
      </c>
    </row>
    <row r="618" spans="1:25" x14ac:dyDescent="0.35">
      <c r="A618" s="1" t="s">
        <v>1897</v>
      </c>
      <c r="B618" s="1" t="s">
        <v>1898</v>
      </c>
      <c r="C618" s="1" t="s">
        <v>254</v>
      </c>
      <c r="D618" s="1" t="s">
        <v>255</v>
      </c>
      <c r="E618" s="2" t="s">
        <v>2490</v>
      </c>
      <c r="F618" s="2" t="s">
        <v>1911</v>
      </c>
      <c r="G618" s="6">
        <v>60</v>
      </c>
      <c r="H618" s="8">
        <f t="shared" si="20"/>
        <v>51.724137931034484</v>
      </c>
      <c r="I618" s="2">
        <v>16</v>
      </c>
      <c r="J618" s="2">
        <f t="shared" si="19"/>
        <v>0.71</v>
      </c>
      <c r="K618" t="s">
        <v>1899</v>
      </c>
      <c r="L618">
        <v>1</v>
      </c>
      <c r="M618">
        <v>15</v>
      </c>
      <c r="N618">
        <v>15</v>
      </c>
      <c r="O618">
        <v>0</v>
      </c>
      <c r="P618">
        <v>15</v>
      </c>
      <c r="Q618">
        <v>1</v>
      </c>
      <c r="R618">
        <v>15</v>
      </c>
      <c r="S618" t="s">
        <v>24</v>
      </c>
      <c r="T618" t="s">
        <v>24</v>
      </c>
      <c r="U618" t="s">
        <v>24</v>
      </c>
      <c r="V618" t="s">
        <v>25</v>
      </c>
      <c r="W618" t="s">
        <v>1899</v>
      </c>
      <c r="X618" t="s">
        <v>26</v>
      </c>
      <c r="Y618" t="s">
        <v>24</v>
      </c>
    </row>
    <row r="619" spans="1:25" x14ac:dyDescent="0.35">
      <c r="A619" s="1" t="s">
        <v>1900</v>
      </c>
      <c r="B619" s="1" t="s">
        <v>1901</v>
      </c>
      <c r="C619" s="1" t="s">
        <v>392</v>
      </c>
      <c r="D619" s="1" t="s">
        <v>393</v>
      </c>
      <c r="E619" s="2" t="s">
        <v>2491</v>
      </c>
      <c r="F619" s="2" t="s">
        <v>1975</v>
      </c>
      <c r="G619" s="6">
        <v>380</v>
      </c>
      <c r="H619" s="8">
        <f t="shared" si="20"/>
        <v>327.58620689655174</v>
      </c>
      <c r="I619" s="2">
        <v>16</v>
      </c>
      <c r="J619" s="2">
        <f t="shared" si="19"/>
        <v>3.8421052631579022E-2</v>
      </c>
      <c r="K619" t="s">
        <v>1902</v>
      </c>
      <c r="L619">
        <v>2</v>
      </c>
      <c r="M619">
        <v>315</v>
      </c>
      <c r="N619">
        <v>315</v>
      </c>
      <c r="O619">
        <v>0</v>
      </c>
      <c r="P619">
        <v>630</v>
      </c>
      <c r="Q619">
        <v>2</v>
      </c>
      <c r="R619">
        <v>630</v>
      </c>
      <c r="S619" t="s">
        <v>24</v>
      </c>
      <c r="T619" t="s">
        <v>24</v>
      </c>
      <c r="U619" t="s">
        <v>24</v>
      </c>
      <c r="V619" t="s">
        <v>25</v>
      </c>
      <c r="W619" t="s">
        <v>1902</v>
      </c>
      <c r="X619" t="s">
        <v>26</v>
      </c>
      <c r="Y619" t="s">
        <v>24</v>
      </c>
    </row>
    <row r="620" spans="1:25" x14ac:dyDescent="0.35">
      <c r="A620" s="1" t="s">
        <v>1903</v>
      </c>
      <c r="B620" s="1" t="s">
        <v>1904</v>
      </c>
      <c r="C620" s="1" t="s">
        <v>392</v>
      </c>
      <c r="D620" s="1" t="s">
        <v>393</v>
      </c>
      <c r="E620" s="2" t="s">
        <v>2492</v>
      </c>
      <c r="F620" s="2" t="s">
        <v>1975</v>
      </c>
      <c r="G620" s="6">
        <v>1091.5</v>
      </c>
      <c r="H620" s="8">
        <f t="shared" si="20"/>
        <v>940.94827586206907</v>
      </c>
      <c r="I620" s="2">
        <v>16</v>
      </c>
      <c r="J620" s="2">
        <f t="shared" si="19"/>
        <v>0.66523133302794324</v>
      </c>
      <c r="K620" t="s">
        <v>1905</v>
      </c>
      <c r="L620">
        <v>1</v>
      </c>
      <c r="M620">
        <v>315</v>
      </c>
      <c r="N620">
        <v>315</v>
      </c>
      <c r="O620">
        <v>0</v>
      </c>
      <c r="P620">
        <v>315</v>
      </c>
      <c r="Q620">
        <v>1</v>
      </c>
      <c r="R620">
        <v>315</v>
      </c>
      <c r="S620" t="s">
        <v>24</v>
      </c>
      <c r="T620" t="s">
        <v>24</v>
      </c>
      <c r="U620" t="s">
        <v>24</v>
      </c>
      <c r="V620" t="s">
        <v>25</v>
      </c>
      <c r="W620" t="s">
        <v>1905</v>
      </c>
      <c r="X620" t="s">
        <v>26</v>
      </c>
      <c r="Y6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SIN 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Reynoso Perez</dc:creator>
  <cp:lastModifiedBy>Guadalupe Carbajal Rodríguez</cp:lastModifiedBy>
  <dcterms:created xsi:type="dcterms:W3CDTF">2025-08-01T17:58:04Z</dcterms:created>
  <dcterms:modified xsi:type="dcterms:W3CDTF">2025-08-01T21:31:03Z</dcterms:modified>
</cp:coreProperties>
</file>